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John\Documents\Mankind Project\Outline Project\Outline Assist Templates\"/>
    </mc:Choice>
  </mc:AlternateContent>
  <xr:revisionPtr revIDLastSave="0" documentId="13_ncr:1_{411001D5-5439-493F-A127-719BCE01DD48}" xr6:coauthVersionLast="47" xr6:coauthVersionMax="47" xr10:uidLastSave="{00000000-0000-0000-0000-000000000000}"/>
  <bookViews>
    <workbookView xWindow="4605" yWindow="165" windowWidth="30960" windowHeight="20475" xr2:uid="{00000000-000D-0000-FFFF-FFFF00000000}"/>
  </bookViews>
  <sheets>
    <sheet name="Staff Roles" sheetId="1" r:id="rId1"/>
    <sheet name="Sheet2" sheetId="2" r:id="rId2"/>
    <sheet name="Sheet3" sheetId="3" r:id="rId3"/>
  </sheets>
  <definedNames>
    <definedName name="_xlnm.Print_Area" localSheetId="0">'Staff Roles'!$BB$9:$BB$13</definedName>
  </definedNames>
  <calcPr calcId="181029"/>
</workbook>
</file>

<file path=xl/calcChain.xml><?xml version="1.0" encoding="utf-8"?>
<calcChain xmlns="http://schemas.openxmlformats.org/spreadsheetml/2006/main">
  <c r="AZ159" i="1" l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H44" i="1"/>
  <c r="I45" i="1"/>
  <c r="I89" i="1" s="1"/>
  <c r="H45" i="1"/>
  <c r="H89" i="1" s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C89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I162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2" i="1"/>
  <c r="C161" i="1"/>
  <c r="AZ138" i="1"/>
  <c r="AY138" i="1"/>
  <c r="AX138" i="1"/>
  <c r="AW138" i="1"/>
  <c r="AV138" i="1"/>
  <c r="AU138" i="1"/>
  <c r="AT138" i="1"/>
  <c r="AS138" i="1"/>
  <c r="AR138" i="1"/>
  <c r="AQ138" i="1"/>
  <c r="H138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AZ125" i="1"/>
  <c r="AZ127" i="1" s="1"/>
  <c r="AY125" i="1"/>
  <c r="AX125" i="1"/>
  <c r="AX127" i="1" s="1"/>
  <c r="AW125" i="1"/>
  <c r="AV125" i="1"/>
  <c r="AU125" i="1"/>
  <c r="AU127" i="1" s="1"/>
  <c r="AT125" i="1"/>
  <c r="AT127" i="1" s="1"/>
  <c r="AS125" i="1"/>
  <c r="AS127" i="1" s="1"/>
  <c r="AR125" i="1"/>
  <c r="AR127" i="1" s="1"/>
  <c r="AQ125" i="1"/>
  <c r="AQ127" i="1" s="1"/>
  <c r="AP125" i="1"/>
  <c r="AP127" i="1" s="1"/>
  <c r="AO125" i="1"/>
  <c r="AO127" i="1" s="1"/>
  <c r="AN125" i="1"/>
  <c r="AN127" i="1" s="1"/>
  <c r="AM125" i="1"/>
  <c r="AM127" i="1" s="1"/>
  <c r="AL125" i="1"/>
  <c r="AL127" i="1" s="1"/>
  <c r="AK125" i="1"/>
  <c r="AK127" i="1" s="1"/>
  <c r="AJ125" i="1"/>
  <c r="AI125" i="1"/>
  <c r="AH125" i="1"/>
  <c r="AG125" i="1"/>
  <c r="AF125" i="1"/>
  <c r="AE125" i="1"/>
  <c r="AE127" i="1" s="1"/>
  <c r="AD125" i="1"/>
  <c r="AD127" i="1" s="1"/>
  <c r="AC125" i="1"/>
  <c r="AC127" i="1" s="1"/>
  <c r="AB125" i="1"/>
  <c r="AB127" i="1" s="1"/>
  <c r="AA125" i="1"/>
  <c r="AA127" i="1" s="1"/>
  <c r="Z125" i="1"/>
  <c r="Z127" i="1" s="1"/>
  <c r="Y125" i="1"/>
  <c r="Y127" i="1" s="1"/>
  <c r="X125" i="1"/>
  <c r="X127" i="1" s="1"/>
  <c r="W125" i="1"/>
  <c r="W127" i="1" s="1"/>
  <c r="V125" i="1"/>
  <c r="V127" i="1" s="1"/>
  <c r="U125" i="1"/>
  <c r="U127" i="1" s="1"/>
  <c r="T125" i="1"/>
  <c r="S125" i="1"/>
  <c r="R125" i="1"/>
  <c r="R127" i="1" s="1"/>
  <c r="Q125" i="1"/>
  <c r="Q127" i="1" s="1"/>
  <c r="P125" i="1"/>
  <c r="P127" i="1" s="1"/>
  <c r="O125" i="1"/>
  <c r="O127" i="1" s="1"/>
  <c r="N125" i="1"/>
  <c r="N127" i="1" s="1"/>
  <c r="M125" i="1"/>
  <c r="M127" i="1" s="1"/>
  <c r="L125" i="1"/>
  <c r="L127" i="1" s="1"/>
  <c r="K125" i="1"/>
  <c r="K127" i="1" s="1"/>
  <c r="J125" i="1"/>
  <c r="J127" i="1" s="1"/>
  <c r="I125" i="1"/>
  <c r="I127" i="1" s="1"/>
  <c r="H125" i="1"/>
  <c r="H127" i="1" s="1"/>
  <c r="G125" i="1"/>
  <c r="G127" i="1" s="1"/>
  <c r="F125" i="1"/>
  <c r="F127" i="1" s="1"/>
  <c r="E125" i="1"/>
  <c r="E127" i="1" s="1"/>
  <c r="D125" i="1"/>
  <c r="D127" i="1" s="1"/>
  <c r="C125" i="1"/>
  <c r="AZ96" i="1"/>
  <c r="AY96" i="1"/>
  <c r="AX96" i="1"/>
  <c r="AW96" i="1"/>
  <c r="AV96" i="1"/>
  <c r="AU96" i="1"/>
  <c r="AT96" i="1"/>
  <c r="AS96" i="1"/>
  <c r="AR96" i="1"/>
  <c r="AQ96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Z45" i="1"/>
  <c r="Z162" i="1" s="1"/>
  <c r="Y45" i="1"/>
  <c r="Y162" i="1" s="1"/>
  <c r="X45" i="1"/>
  <c r="X89" i="1" s="1"/>
  <c r="W45" i="1"/>
  <c r="W89" i="1" s="1"/>
  <c r="V45" i="1"/>
  <c r="V89" i="1" s="1"/>
  <c r="U45" i="1"/>
  <c r="U89" i="1" s="1"/>
  <c r="T45" i="1"/>
  <c r="T89" i="1" s="1"/>
  <c r="S45" i="1"/>
  <c r="S89" i="1" s="1"/>
  <c r="R45" i="1"/>
  <c r="R89" i="1" s="1"/>
  <c r="Q45" i="1"/>
  <c r="Q89" i="1" s="1"/>
  <c r="P45" i="1"/>
  <c r="P89" i="1" s="1"/>
  <c r="O45" i="1"/>
  <c r="O89" i="1" s="1"/>
  <c r="N45" i="1"/>
  <c r="N89" i="1" s="1"/>
  <c r="M45" i="1"/>
  <c r="M89" i="1" s="1"/>
  <c r="L45" i="1"/>
  <c r="L89" i="1" s="1"/>
  <c r="K45" i="1"/>
  <c r="K162" i="1" s="1"/>
  <c r="J45" i="1"/>
  <c r="J162" i="1" s="1"/>
  <c r="G45" i="1"/>
  <c r="G89" i="1" s="1"/>
  <c r="F45" i="1"/>
  <c r="F89" i="1" s="1"/>
  <c r="E45" i="1"/>
  <c r="E162" i="1" s="1"/>
  <c r="D45" i="1"/>
  <c r="D89" i="1" s="1"/>
  <c r="AP44" i="1"/>
  <c r="AP96" i="1" s="1"/>
  <c r="AO44" i="1"/>
  <c r="AO96" i="1" s="1"/>
  <c r="AN44" i="1"/>
  <c r="AN96" i="1" s="1"/>
  <c r="AM44" i="1"/>
  <c r="AM96" i="1" s="1"/>
  <c r="AL44" i="1"/>
  <c r="AL96" i="1" s="1"/>
  <c r="AK44" i="1"/>
  <c r="AK96" i="1" s="1"/>
  <c r="AJ44" i="1"/>
  <c r="AJ96" i="1" s="1"/>
  <c r="AI44" i="1"/>
  <c r="AI96" i="1" s="1"/>
  <c r="AH44" i="1"/>
  <c r="AH96" i="1" s="1"/>
  <c r="AG44" i="1"/>
  <c r="AG96" i="1" s="1"/>
  <c r="AF44" i="1"/>
  <c r="AF96" i="1" s="1"/>
  <c r="AE44" i="1"/>
  <c r="AE96" i="1" s="1"/>
  <c r="AD44" i="1"/>
  <c r="AD96" i="1" s="1"/>
  <c r="AC44" i="1"/>
  <c r="AC96" i="1" s="1"/>
  <c r="AB44" i="1"/>
  <c r="AB96" i="1" s="1"/>
  <c r="AA44" i="1"/>
  <c r="AA96" i="1" s="1"/>
  <c r="Z44" i="1"/>
  <c r="Z96" i="1" s="1"/>
  <c r="Y44" i="1"/>
  <c r="Y96" i="1" s="1"/>
  <c r="X44" i="1"/>
  <c r="X96" i="1" s="1"/>
  <c r="W44" i="1"/>
  <c r="W96" i="1" s="1"/>
  <c r="V44" i="1"/>
  <c r="V96" i="1" s="1"/>
  <c r="U44" i="1"/>
  <c r="U96" i="1" s="1"/>
  <c r="T44" i="1"/>
  <c r="T96" i="1" s="1"/>
  <c r="S44" i="1"/>
  <c r="S96" i="1" s="1"/>
  <c r="R44" i="1"/>
  <c r="R96" i="1" s="1"/>
  <c r="Q44" i="1"/>
  <c r="Q96" i="1" s="1"/>
  <c r="P44" i="1"/>
  <c r="P96" i="1" s="1"/>
  <c r="O44" i="1"/>
  <c r="O138" i="1" s="1"/>
  <c r="N44" i="1"/>
  <c r="N138" i="1" s="1"/>
  <c r="M44" i="1"/>
  <c r="M96" i="1" s="1"/>
  <c r="L44" i="1"/>
  <c r="L96" i="1" s="1"/>
  <c r="K44" i="1"/>
  <c r="K96" i="1" s="1"/>
  <c r="J44" i="1"/>
  <c r="J96" i="1" s="1"/>
  <c r="I44" i="1"/>
  <c r="I96" i="1" s="1"/>
  <c r="H96" i="1"/>
  <c r="G44" i="1"/>
  <c r="G96" i="1" s="1"/>
  <c r="F44" i="1"/>
  <c r="F96" i="1" s="1"/>
  <c r="E44" i="1"/>
  <c r="E96" i="1" s="1"/>
  <c r="D44" i="1"/>
  <c r="D96" i="1" s="1"/>
  <c r="C44" i="1"/>
  <c r="C96" i="1" s="1"/>
  <c r="C127" i="1"/>
  <c r="W147" i="1"/>
  <c r="V147" i="1"/>
  <c r="U147" i="1"/>
  <c r="T147" i="1"/>
  <c r="S147" i="1"/>
  <c r="R147" i="1"/>
  <c r="Q147" i="1"/>
  <c r="P147" i="1"/>
  <c r="O147" i="1"/>
  <c r="T127" i="1"/>
  <c r="S127" i="1"/>
  <c r="AK147" i="1"/>
  <c r="AL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AP48" i="1"/>
  <c r="AO48" i="1"/>
  <c r="AN48" i="1"/>
  <c r="AM48" i="1"/>
  <c r="AY127" i="1"/>
  <c r="AW127" i="1"/>
  <c r="AV127" i="1"/>
  <c r="AJ127" i="1"/>
  <c r="AI127" i="1"/>
  <c r="AH127" i="1"/>
  <c r="AG127" i="1"/>
  <c r="AF127" i="1"/>
  <c r="AZ130" i="1"/>
  <c r="AY130" i="1"/>
  <c r="AX130" i="1"/>
  <c r="AW130" i="1"/>
  <c r="AV130" i="1"/>
  <c r="AU130" i="1"/>
  <c r="AT130" i="1"/>
  <c r="AS130" i="1"/>
  <c r="AR130" i="1"/>
  <c r="AQ130" i="1"/>
  <c r="AP130" i="1"/>
  <c r="C2" i="2"/>
  <c r="J89" i="1" l="1"/>
  <c r="Z89" i="1"/>
  <c r="AF138" i="1"/>
  <c r="M162" i="1"/>
  <c r="H162" i="1"/>
  <c r="P138" i="1"/>
  <c r="O96" i="1"/>
  <c r="AE138" i="1"/>
  <c r="L162" i="1"/>
  <c r="Y89" i="1"/>
  <c r="Q138" i="1"/>
  <c r="AG138" i="1"/>
  <c r="AG4" i="1" s="1" a="1"/>
  <c r="AG4" i="1" s="1"/>
  <c r="N162" i="1"/>
  <c r="N5" i="1" s="1" a="1"/>
  <c r="N5" i="1" s="1"/>
  <c r="K89" i="1"/>
  <c r="K5" i="1" s="1" a="1"/>
  <c r="K5" i="1" s="1"/>
  <c r="R138" i="1"/>
  <c r="R5" i="1" s="1" a="1"/>
  <c r="R5" i="1" s="1"/>
  <c r="AH138" i="1"/>
  <c r="O162" i="1"/>
  <c r="O5" i="1" s="1" a="1"/>
  <c r="O5" i="1" s="1"/>
  <c r="C138" i="1"/>
  <c r="C4" i="1" s="1" a="1"/>
  <c r="C4" i="1" s="1"/>
  <c r="S138" i="1"/>
  <c r="AI138" i="1"/>
  <c r="P162" i="1"/>
  <c r="D138" i="1"/>
  <c r="T138" i="1"/>
  <c r="AJ138" i="1"/>
  <c r="Q162" i="1"/>
  <c r="E138" i="1"/>
  <c r="U138" i="1"/>
  <c r="AK138" i="1"/>
  <c r="AK5" i="1" s="1" a="1"/>
  <c r="AK5" i="1" s="1"/>
  <c r="R162" i="1"/>
  <c r="F138" i="1"/>
  <c r="F4" i="1" s="1" a="1"/>
  <c r="F4" i="1" s="1"/>
  <c r="V138" i="1"/>
  <c r="V5" i="1" s="1" a="1"/>
  <c r="V5" i="1" s="1"/>
  <c r="AL138" i="1"/>
  <c r="S162" i="1"/>
  <c r="S4" i="1" s="1" a="1"/>
  <c r="S4" i="1" s="1"/>
  <c r="G138" i="1"/>
  <c r="W138" i="1"/>
  <c r="AM138" i="1"/>
  <c r="T162" i="1"/>
  <c r="X138" i="1"/>
  <c r="AN138" i="1"/>
  <c r="D162" i="1"/>
  <c r="U162" i="1"/>
  <c r="I138" i="1"/>
  <c r="Y138" i="1"/>
  <c r="AO138" i="1"/>
  <c r="AO4" i="1" s="1" a="1"/>
  <c r="AO4" i="1" s="1"/>
  <c r="F162" i="1"/>
  <c r="V162" i="1"/>
  <c r="J138" i="1"/>
  <c r="J4" i="1" s="1" a="1"/>
  <c r="J4" i="1" s="1"/>
  <c r="Z138" i="1"/>
  <c r="AP138" i="1"/>
  <c r="AP5" i="1" s="1" a="1"/>
  <c r="AP5" i="1" s="1"/>
  <c r="G162" i="1"/>
  <c r="W162" i="1"/>
  <c r="K138" i="1"/>
  <c r="AA138" i="1"/>
  <c r="X162" i="1"/>
  <c r="L138" i="1"/>
  <c r="AB138" i="1"/>
  <c r="M138" i="1"/>
  <c r="AC138" i="1"/>
  <c r="N96" i="1"/>
  <c r="AD138" i="1"/>
  <c r="AD5" i="1" s="1" a="1"/>
  <c r="AD5" i="1" s="1"/>
  <c r="E89" i="1"/>
  <c r="E4" i="1" s="1" a="1"/>
  <c r="E4" i="1" s="1"/>
  <c r="P5" i="1" a="1"/>
  <c r="P5" i="1" s="1"/>
  <c r="W5" i="1" a="1"/>
  <c r="W5" i="1" s="1"/>
  <c r="U4" i="1" a="1"/>
  <c r="U4" i="1" s="1"/>
  <c r="S5" i="1" a="1"/>
  <c r="S5" i="1" s="1"/>
  <c r="Q4" i="1" a="1"/>
  <c r="Q4" i="1" s="1"/>
  <c r="U5" i="1" a="1"/>
  <c r="U5" i="1" s="1"/>
  <c r="T5" i="1" a="1"/>
  <c r="T5" i="1" s="1"/>
  <c r="Q5" i="1" a="1"/>
  <c r="Q5" i="1" s="1"/>
  <c r="P4" i="1" a="1"/>
  <c r="P4" i="1" s="1"/>
  <c r="T4" i="1" a="1"/>
  <c r="T4" i="1" s="1"/>
  <c r="AL4" i="1" a="1"/>
  <c r="AL4" i="1" s="1"/>
  <c r="AX4" i="1" a="1"/>
  <c r="AX4" i="1" s="1"/>
  <c r="AF5" i="1" a="1"/>
  <c r="AF5" i="1" s="1"/>
  <c r="AX5" i="1" a="1"/>
  <c r="AX5" i="1" s="1"/>
  <c r="H4" i="1" a="1"/>
  <c r="H4" i="1" s="1"/>
  <c r="AZ5" i="1" a="1"/>
  <c r="AZ5" i="1" s="1"/>
  <c r="AT4" i="1" a="1"/>
  <c r="AT4" i="1" s="1"/>
  <c r="AI4" i="1" a="1"/>
  <c r="AI4" i="1" s="1"/>
  <c r="L5" i="1" a="1"/>
  <c r="L5" i="1" s="1"/>
  <c r="D4" i="1" a="1"/>
  <c r="D4" i="1" s="1"/>
  <c r="AN4" i="1" a="1"/>
  <c r="AN4" i="1" s="1"/>
  <c r="AC5" i="1" a="1"/>
  <c r="AC5" i="1" s="1"/>
  <c r="AL5" i="1" a="1"/>
  <c r="AL5" i="1" s="1"/>
  <c r="AM5" i="1" a="1"/>
  <c r="AM5" i="1" s="1"/>
  <c r="AA5" i="1" a="1"/>
  <c r="AA5" i="1" s="1"/>
  <c r="AV5" i="1" a="1"/>
  <c r="AV5" i="1" s="1"/>
  <c r="AE4" i="1" a="1"/>
  <c r="AE4" i="1" s="1"/>
  <c r="AM4" i="1" a="1"/>
  <c r="AM4" i="1" s="1"/>
  <c r="AS5" i="1" a="1"/>
  <c r="AS5" i="1" s="1"/>
  <c r="AT5" i="1" a="1"/>
  <c r="AT5" i="1" s="1"/>
  <c r="AU4" i="1" a="1"/>
  <c r="AU4" i="1" s="1"/>
  <c r="E5" i="1" a="1"/>
  <c r="E5" i="1" s="1"/>
  <c r="M5" i="1" a="1"/>
  <c r="M5" i="1" s="1"/>
  <c r="AN5" i="1" a="1"/>
  <c r="AN5" i="1" s="1"/>
  <c r="Y5" i="1" a="1"/>
  <c r="Y5" i="1" s="1"/>
  <c r="D5" i="1" a="1"/>
  <c r="D5" i="1" s="1"/>
  <c r="AC4" i="1" a="1"/>
  <c r="AC4" i="1" s="1"/>
  <c r="Y4" i="1" a="1"/>
  <c r="Y4" i="1" s="1"/>
  <c r="AU5" i="1" a="1"/>
  <c r="AU5" i="1" s="1"/>
  <c r="M4" i="1" a="1"/>
  <c r="M4" i="1" s="1"/>
  <c r="AW5" i="1" a="1"/>
  <c r="AW5" i="1" s="1"/>
  <c r="X5" i="1" a="1"/>
  <c r="X5" i="1" s="1"/>
  <c r="L4" i="1" a="1"/>
  <c r="L4" i="1" s="1"/>
  <c r="AF4" i="1" a="1"/>
  <c r="AF4" i="1" s="1"/>
  <c r="AY5" i="1" a="1"/>
  <c r="AY5" i="1" s="1"/>
  <c r="AE5" i="1" a="1"/>
  <c r="AE5" i="1" s="1"/>
  <c r="X4" i="1" a="1"/>
  <c r="X4" i="1" s="1"/>
  <c r="AG5" i="1" a="1"/>
  <c r="AG5" i="1" s="1"/>
  <c r="AZ4" i="1" a="1"/>
  <c r="AZ4" i="1" s="1"/>
  <c r="AJ5" i="1" a="1"/>
  <c r="AJ5" i="1" s="1"/>
  <c r="AV4" i="1" a="1"/>
  <c r="AV4" i="1" s="1"/>
  <c r="AW4" i="1" a="1"/>
  <c r="AW4" i="1" s="1"/>
  <c r="H5" i="1" a="1"/>
  <c r="H5" i="1" s="1"/>
  <c r="AQ4" i="1" a="1"/>
  <c r="AQ4" i="1" s="1"/>
  <c r="AY4" i="1" a="1"/>
  <c r="AY4" i="1" s="1"/>
  <c r="Z5" i="1" a="1"/>
  <c r="Z5" i="1" s="1"/>
  <c r="I5" i="1" a="1"/>
  <c r="I5" i="1" s="1"/>
  <c r="AH5" i="1" a="1"/>
  <c r="AH5" i="1" s="1"/>
  <c r="AI5" i="1" a="1"/>
  <c r="AI5" i="1" s="1"/>
  <c r="AA4" i="1" a="1"/>
  <c r="AA4" i="1" s="1"/>
  <c r="AB5" i="1" a="1"/>
  <c r="AB5" i="1" s="1"/>
  <c r="AR5" i="1" a="1"/>
  <c r="AR5" i="1" s="1"/>
  <c r="AH4" i="1" a="1"/>
  <c r="AH4" i="1" s="1"/>
  <c r="I4" i="1" a="1"/>
  <c r="I4" i="1" s="1"/>
  <c r="AQ5" i="1" a="1"/>
  <c r="AQ5" i="1" s="1"/>
  <c r="Z4" i="1" a="1"/>
  <c r="Z4" i="1" s="1"/>
  <c r="AR4" i="1" a="1"/>
  <c r="AR4" i="1" s="1"/>
  <c r="AS4" i="1" a="1"/>
  <c r="AS4" i="1" s="1"/>
  <c r="AB4" i="1" a="1"/>
  <c r="AB4" i="1" s="1"/>
  <c r="AJ4" i="1" a="1"/>
  <c r="AJ4" i="1" s="1"/>
  <c r="N4" i="1" l="1" a="1"/>
  <c r="N4" i="1" s="1"/>
  <c r="K4" i="1" a="1"/>
  <c r="K4" i="1" s="1"/>
  <c r="F5" i="1" a="1"/>
  <c r="F5" i="1" s="1"/>
  <c r="R4" i="1" a="1"/>
  <c r="R4" i="1" s="1"/>
  <c r="J5" i="1" a="1"/>
  <c r="J5" i="1" s="1"/>
  <c r="G4" i="1" a="1"/>
  <c r="G4" i="1" s="1"/>
  <c r="AO5" i="1" a="1"/>
  <c r="AO5" i="1" s="1"/>
  <c r="AD4" i="1" a="1"/>
  <c r="AD4" i="1" s="1"/>
  <c r="AK4" i="1" a="1"/>
  <c r="AK4" i="1" s="1"/>
  <c r="W4" i="1" a="1"/>
  <c r="W4" i="1" s="1"/>
  <c r="AP4" i="1" a="1"/>
  <c r="AP4" i="1" s="1"/>
  <c r="V4" i="1" a="1"/>
  <c r="V4" i="1" s="1"/>
  <c r="G5" i="1" a="1"/>
  <c r="G5" i="1" s="1"/>
  <c r="C5" i="1" a="1"/>
  <c r="C5" i="1" s="1"/>
  <c r="O4" i="1" a="1"/>
  <c r="O4" i="1" s="1"/>
</calcChain>
</file>

<file path=xl/sharedStrings.xml><?xml version="1.0" encoding="utf-8"?>
<sst xmlns="http://schemas.openxmlformats.org/spreadsheetml/2006/main" count="535" uniqueCount="415">
  <si>
    <t>Guidance</t>
  </si>
  <si>
    <t>Comments</t>
  </si>
  <si>
    <t># staffings</t>
  </si>
  <si>
    <t>Leader Role</t>
  </si>
  <si>
    <t>RE</t>
  </si>
  <si>
    <t>CL=colead, RE, CC=CLC, L=LIT, FL=Leader, M=Medic,PR</t>
  </si>
  <si>
    <t>Breaks</t>
  </si>
  <si>
    <t>Roles</t>
  </si>
  <si>
    <t>Coordinators</t>
  </si>
  <si>
    <t>C09</t>
  </si>
  <si>
    <t>Bagmen &amp; Escorts</t>
  </si>
  <si>
    <t>M</t>
  </si>
  <si>
    <t>C03</t>
  </si>
  <si>
    <t>Bodywork</t>
  </si>
  <si>
    <t>C04</t>
  </si>
  <si>
    <t xml:space="preserve">Brother Dancers </t>
  </si>
  <si>
    <t>C05</t>
  </si>
  <si>
    <r>
      <rPr>
        <sz val="10"/>
        <color rgb="FF000000"/>
        <rFont val="Calibri"/>
      </rPr>
      <t xml:space="preserve">Carpool – </t>
    </r>
    <r>
      <rPr>
        <i/>
        <sz val="10"/>
        <color rgb="FF000000"/>
        <rFont val="Calibri"/>
      </rPr>
      <t>Initiates</t>
    </r>
  </si>
  <si>
    <t>C06</t>
  </si>
  <si>
    <t>Cleanup</t>
  </si>
  <si>
    <t>N</t>
  </si>
  <si>
    <t>R02</t>
  </si>
  <si>
    <t>CLC ON Point</t>
  </si>
  <si>
    <t>C07</t>
  </si>
  <si>
    <t>Data</t>
  </si>
  <si>
    <t>C71</t>
  </si>
  <si>
    <t>Drumming/Effects</t>
  </si>
  <si>
    <t>C08</t>
  </si>
  <si>
    <t>Earth Steward</t>
  </si>
  <si>
    <t>C10</t>
  </si>
  <si>
    <t>Facilities</t>
  </si>
  <si>
    <t>S</t>
  </si>
  <si>
    <t>C72</t>
  </si>
  <si>
    <t>Feast</t>
  </si>
  <si>
    <t>C12</t>
  </si>
  <si>
    <t>Greeting</t>
  </si>
  <si>
    <t>LIT</t>
  </si>
  <si>
    <t>C11</t>
  </si>
  <si>
    <t>Homecoming</t>
  </si>
  <si>
    <t>C13</t>
  </si>
  <si>
    <t>C15</t>
  </si>
  <si>
    <t>Materials</t>
  </si>
  <si>
    <t>SF1</t>
  </si>
  <si>
    <t>Medic</t>
  </si>
  <si>
    <t>C16</t>
  </si>
  <si>
    <t>Midnight Adventure</t>
  </si>
  <si>
    <t>C14</t>
  </si>
  <si>
    <t>MOS Liason/Breaks</t>
  </si>
  <si>
    <t>C18</t>
  </si>
  <si>
    <t>Music</t>
  </si>
  <si>
    <t>C19</t>
  </si>
  <si>
    <t>Novice</t>
  </si>
  <si>
    <t>C20</t>
  </si>
  <si>
    <r>
      <rPr>
        <sz val="10"/>
        <color rgb="FF000000"/>
        <rFont val="Calibri"/>
      </rPr>
      <t xml:space="preserve">Outline – </t>
    </r>
    <r>
      <rPr>
        <i/>
        <sz val="10"/>
        <color rgb="FF000000"/>
        <rFont val="Calibri"/>
      </rPr>
      <t>Time</t>
    </r>
  </si>
  <si>
    <t>C73</t>
  </si>
  <si>
    <t>Pit</t>
  </si>
  <si>
    <t>R03</t>
  </si>
  <si>
    <t>R04</t>
  </si>
  <si>
    <t>Ritual Elder</t>
  </si>
  <si>
    <t>C22</t>
  </si>
  <si>
    <t>Rookie</t>
  </si>
  <si>
    <t>C23</t>
  </si>
  <si>
    <t>Safety</t>
  </si>
  <si>
    <t>C25</t>
  </si>
  <si>
    <t>Key Ceremony</t>
  </si>
  <si>
    <t>C26</t>
  </si>
  <si>
    <t>Talisman Making</t>
  </si>
  <si>
    <t>RE/GNR</t>
  </si>
  <si>
    <t>C27</t>
  </si>
  <si>
    <t>Trust Walk</t>
  </si>
  <si>
    <t>C28</t>
  </si>
  <si>
    <t>Water – Drinking</t>
  </si>
  <si>
    <t>C21</t>
  </si>
  <si>
    <t>Pre-Weekend Interviews</t>
  </si>
  <si>
    <t>WEC</t>
  </si>
  <si>
    <t>Weekend Coordinator(s)</t>
  </si>
  <si>
    <t>FRF1</t>
  </si>
  <si>
    <t>Flow - Friday</t>
  </si>
  <si>
    <t>FR02</t>
  </si>
  <si>
    <t>Road Warrior</t>
  </si>
  <si>
    <t>FR03</t>
  </si>
  <si>
    <t>Parking Director</t>
  </si>
  <si>
    <t>R</t>
  </si>
  <si>
    <t>FR08</t>
  </si>
  <si>
    <t>Food Putter</t>
  </si>
  <si>
    <t>R/MOS</t>
  </si>
  <si>
    <t>FR01-1</t>
  </si>
  <si>
    <t>Registration</t>
  </si>
  <si>
    <t>Medic/Data</t>
  </si>
  <si>
    <t>FR01-2</t>
  </si>
  <si>
    <t>Outside Hold Station</t>
  </si>
  <si>
    <t>FR04</t>
  </si>
  <si>
    <t>Outside Greeter</t>
  </si>
  <si>
    <t>FR05</t>
  </si>
  <si>
    <t xml:space="preserve">Challenger Sensi </t>
  </si>
  <si>
    <t>CL(CLC)</t>
  </si>
  <si>
    <t>FR06</t>
  </si>
  <si>
    <t>Inside Greeter</t>
  </si>
  <si>
    <t>FR10</t>
  </si>
  <si>
    <t>Photo</t>
  </si>
  <si>
    <t>FR09</t>
  </si>
  <si>
    <t>Table 1:  Forms &amp; Numbers</t>
  </si>
  <si>
    <t>FR11</t>
  </si>
  <si>
    <t>Sacred Objects Table</t>
  </si>
  <si>
    <t>GNR</t>
  </si>
  <si>
    <t>FR12</t>
  </si>
  <si>
    <t>Table 2:  Contraband Items</t>
  </si>
  <si>
    <t>S,M</t>
  </si>
  <si>
    <t>FR07</t>
  </si>
  <si>
    <t>Escorts</t>
  </si>
  <si>
    <t>Rx7</t>
  </si>
  <si>
    <t>FR13-1</t>
  </si>
  <si>
    <t>Contraband Coord</t>
  </si>
  <si>
    <t>FR13</t>
  </si>
  <si>
    <t>Contraband #1</t>
  </si>
  <si>
    <t>LIT,S,M</t>
  </si>
  <si>
    <t>FR13[2]</t>
  </si>
  <si>
    <t>Contraband #2</t>
  </si>
  <si>
    <t>FR13[3]</t>
  </si>
  <si>
    <t>Contraband #3</t>
  </si>
  <si>
    <t>FR01-3</t>
  </si>
  <si>
    <t>Inside Troubleshooter</t>
  </si>
  <si>
    <t>FR14</t>
  </si>
  <si>
    <t>Golden Sensei</t>
  </si>
  <si>
    <t>RE,Elder</t>
  </si>
  <si>
    <t>FR01-4</t>
  </si>
  <si>
    <t>Bottle Kicker</t>
  </si>
  <si>
    <t>FR16</t>
  </si>
  <si>
    <t>Accountability</t>
  </si>
  <si>
    <t>FR17</t>
  </si>
  <si>
    <t xml:space="preserve">Secret Male Ritual        </t>
  </si>
  <si>
    <t>FR18</t>
  </si>
  <si>
    <t>Rules &amp; Logistics</t>
  </si>
  <si>
    <t>FR19</t>
  </si>
  <si>
    <t>Safety Briefing</t>
  </si>
  <si>
    <t>Safety Team Lead</t>
  </si>
  <si>
    <t>BRF1</t>
  </si>
  <si>
    <t>Initiate Break – Bio</t>
  </si>
  <si>
    <t>S,R</t>
  </si>
  <si>
    <t>SMF1</t>
  </si>
  <si>
    <t>Staff Meeting</t>
  </si>
  <si>
    <t>FR20</t>
  </si>
  <si>
    <t>Confidential Questionaire</t>
  </si>
  <si>
    <t>M,R</t>
  </si>
  <si>
    <t>FR21</t>
  </si>
  <si>
    <t>Context #1</t>
  </si>
  <si>
    <t>FR22-1</t>
  </si>
  <si>
    <t>WAR</t>
  </si>
  <si>
    <t>CL-CLC</t>
  </si>
  <si>
    <t>FR22</t>
  </si>
  <si>
    <t>Whats at Risk #1</t>
  </si>
  <si>
    <t>S,S,M</t>
  </si>
  <si>
    <t>FR22[2]</t>
  </si>
  <si>
    <t>Whats at Risk #2</t>
  </si>
  <si>
    <t>FR22[3]</t>
  </si>
  <si>
    <t>Whats at Risk #3</t>
  </si>
  <si>
    <t>BRF2</t>
  </si>
  <si>
    <t>FR23</t>
  </si>
  <si>
    <t>Wildman</t>
  </si>
  <si>
    <t>CL,S,M,R,R,R</t>
  </si>
  <si>
    <t>BRF3</t>
  </si>
  <si>
    <t>Initiate Break – Serving Team</t>
  </si>
  <si>
    <t>SMF2</t>
  </si>
  <si>
    <t>FR24</t>
  </si>
  <si>
    <t>I know I'm a Man</t>
  </si>
  <si>
    <t>S,M,N,N</t>
  </si>
  <si>
    <t>FR25</t>
  </si>
  <si>
    <t>Inner Essence</t>
  </si>
  <si>
    <t>GNR Team</t>
  </si>
  <si>
    <t>FR26</t>
  </si>
  <si>
    <t>Send off</t>
  </si>
  <si>
    <t>FR26-1</t>
  </si>
  <si>
    <t>Front Guide</t>
  </si>
  <si>
    <t>FR26-2</t>
  </si>
  <si>
    <t>Rear Guide</t>
  </si>
  <si>
    <t>FR27</t>
  </si>
  <si>
    <t>Checkpoints</t>
  </si>
  <si>
    <t>Rx5</t>
  </si>
  <si>
    <t>FR28</t>
  </si>
  <si>
    <t>Bandits</t>
  </si>
  <si>
    <t>M,N,N</t>
  </si>
  <si>
    <t>SF02</t>
  </si>
  <si>
    <t>Safety Team</t>
  </si>
  <si>
    <t>FR29</t>
  </si>
  <si>
    <t>Discussion</t>
  </si>
  <si>
    <t>(CLC) &amp; LDR</t>
  </si>
  <si>
    <t>FR30</t>
  </si>
  <si>
    <t>Closing Announcements</t>
  </si>
  <si>
    <t>FR70</t>
  </si>
  <si>
    <t>Stay w/Initiates</t>
  </si>
  <si>
    <t>S,R,</t>
  </si>
  <si>
    <t>Watch for conflicts as these overalap closely</t>
  </si>
  <si>
    <t>Meetings: LIT/SAFCIR.../12S/</t>
  </si>
  <si>
    <t>SAF1</t>
  </si>
  <si>
    <t>Flow - Pre-Guts</t>
  </si>
  <si>
    <t>Leaders</t>
  </si>
  <si>
    <t>SA01</t>
  </si>
  <si>
    <t>Initiate Wake-up</t>
  </si>
  <si>
    <t>SMS1</t>
  </si>
  <si>
    <t>Staff meeting</t>
  </si>
  <si>
    <t>BRS1</t>
  </si>
  <si>
    <t>Initiate Breakfast</t>
  </si>
  <si>
    <t>SA02</t>
  </si>
  <si>
    <t>Morning Dance</t>
  </si>
  <si>
    <t>M,MU</t>
  </si>
  <si>
    <t>SA03-1</t>
  </si>
  <si>
    <t>I statements</t>
  </si>
  <si>
    <t>SA03</t>
  </si>
  <si>
    <t>Intro to Feelings</t>
  </si>
  <si>
    <t>SA04</t>
  </si>
  <si>
    <t>Morning Check In</t>
  </si>
  <si>
    <t>BRS2</t>
  </si>
  <si>
    <t>Initiate Break</t>
  </si>
  <si>
    <t>SA05</t>
  </si>
  <si>
    <t>Context #2</t>
  </si>
  <si>
    <t>SA72</t>
  </si>
  <si>
    <t>Arrows In/Out</t>
  </si>
  <si>
    <t>S,N</t>
  </si>
  <si>
    <t>SA06</t>
  </si>
  <si>
    <t>Little Boys Deepst Need</t>
  </si>
  <si>
    <t>SA07</t>
  </si>
  <si>
    <t>Mission &amp; Affirmation</t>
  </si>
  <si>
    <t>CL,S,S,M,M,N,N</t>
  </si>
  <si>
    <t>BRS3</t>
  </si>
  <si>
    <t>SMS2</t>
  </si>
  <si>
    <t>SA08</t>
  </si>
  <si>
    <t>Alone Time</t>
  </si>
  <si>
    <t>SA08[2]</t>
  </si>
  <si>
    <t>SA09</t>
  </si>
  <si>
    <t>Guts 1</t>
  </si>
  <si>
    <t>SMS3</t>
  </si>
  <si>
    <t>BRS4</t>
  </si>
  <si>
    <t>SA09[2]</t>
  </si>
  <si>
    <t>Guts 2</t>
  </si>
  <si>
    <t>SA10</t>
  </si>
  <si>
    <t>Moment of Truth</t>
  </si>
  <si>
    <t>BRS6</t>
  </si>
  <si>
    <t>SAF2</t>
  </si>
  <si>
    <t>Flow - Post Guts</t>
  </si>
  <si>
    <t>SMS4</t>
  </si>
  <si>
    <t>SA74</t>
  </si>
  <si>
    <t>Letter to Self</t>
  </si>
  <si>
    <t>SA11</t>
  </si>
  <si>
    <t>Shadow Mission</t>
  </si>
  <si>
    <t>Mission team</t>
  </si>
  <si>
    <t>BRS5</t>
  </si>
  <si>
    <t>SA12</t>
  </si>
  <si>
    <t>SA12-1</t>
  </si>
  <si>
    <t>Incantation</t>
  </si>
  <si>
    <t>SA12-2</t>
  </si>
  <si>
    <t>Sides</t>
  </si>
  <si>
    <t>Brother Dancers, or N's</t>
  </si>
  <si>
    <t>SA12-3</t>
  </si>
  <si>
    <t>SA12-4</t>
  </si>
  <si>
    <t>SA12-5</t>
  </si>
  <si>
    <t>Breakers</t>
  </si>
  <si>
    <t>N,N</t>
  </si>
  <si>
    <t>SA12-6</t>
  </si>
  <si>
    <t>Runners</t>
  </si>
  <si>
    <t>R,R</t>
  </si>
  <si>
    <t>SA12-7</t>
  </si>
  <si>
    <t>Blindfold Pullers</t>
  </si>
  <si>
    <t>S,S</t>
  </si>
  <si>
    <t>SA13</t>
  </si>
  <si>
    <t>CLC - Coord-M</t>
  </si>
  <si>
    <t>SA13-1</t>
  </si>
  <si>
    <t>Carriers</t>
  </si>
  <si>
    <t>M,N</t>
  </si>
  <si>
    <t>SA13-3</t>
  </si>
  <si>
    <t>Green Man</t>
  </si>
  <si>
    <t>SA14</t>
  </si>
  <si>
    <t>SA75</t>
  </si>
  <si>
    <t>SUF1</t>
  </si>
  <si>
    <t>Flow - Sunday</t>
  </si>
  <si>
    <t>SU01</t>
  </si>
  <si>
    <t>New Brother Wake Up</t>
  </si>
  <si>
    <t>BRU1</t>
  </si>
  <si>
    <t>New Brother Breakfast</t>
  </si>
  <si>
    <t>SU02</t>
  </si>
  <si>
    <t>Morning Circle/Renaming</t>
  </si>
  <si>
    <t>RE + Table 1</t>
  </si>
  <si>
    <t>SU02-1</t>
  </si>
  <si>
    <t>East</t>
  </si>
  <si>
    <t>Assigned by RE</t>
  </si>
  <si>
    <t>SU02-2</t>
  </si>
  <si>
    <t>South</t>
  </si>
  <si>
    <t>SU02-3</t>
  </si>
  <si>
    <t>West</t>
  </si>
  <si>
    <t>SU02-4</t>
  </si>
  <si>
    <t>North</t>
  </si>
  <si>
    <t>SU02-5</t>
  </si>
  <si>
    <t>Above</t>
  </si>
  <si>
    <t>SU02-6</t>
  </si>
  <si>
    <t>Below</t>
  </si>
  <si>
    <t>SU02-7</t>
  </si>
  <si>
    <t>Within</t>
  </si>
  <si>
    <t>SMU1</t>
  </si>
  <si>
    <t>SU04</t>
  </si>
  <si>
    <t>Context #3</t>
  </si>
  <si>
    <t>SU05</t>
  </si>
  <si>
    <t>S,M,[R]</t>
  </si>
  <si>
    <t>SU06</t>
  </si>
  <si>
    <t>Sexual Shadow</t>
  </si>
  <si>
    <t>CL Assigned</t>
  </si>
  <si>
    <t>SU06-1</t>
  </si>
  <si>
    <t>Sexual Shadow Security</t>
  </si>
  <si>
    <t>SU07</t>
  </si>
  <si>
    <t>The Gift</t>
  </si>
  <si>
    <t>Wildman Team</t>
  </si>
  <si>
    <t>SU08</t>
  </si>
  <si>
    <t>SU08-1</t>
  </si>
  <si>
    <t>GNR - Safety</t>
  </si>
  <si>
    <t>One safety man (GNR)</t>
  </si>
  <si>
    <t>SU71</t>
  </si>
  <si>
    <t>SU12</t>
  </si>
  <si>
    <t>Goodbye</t>
  </si>
  <si>
    <t>TX01</t>
  </si>
  <si>
    <t>TX02</t>
  </si>
  <si>
    <t>TX03</t>
  </si>
  <si>
    <t>END</t>
  </si>
  <si>
    <t>C=colead, RE, CC=CLC, LE, L=Leader, M=Medic</t>
  </si>
  <si>
    <t>Integration</t>
  </si>
  <si>
    <t>M/S</t>
  </si>
  <si>
    <t>Narrator  (process includes the mission team)</t>
  </si>
  <si>
    <t>Autofilled - Mission Team</t>
  </si>
  <si>
    <t>Trust Walk Coord</t>
  </si>
  <si>
    <t>Autofilled - Trust Walk Coordinator</t>
  </si>
  <si>
    <t>Autfilled - Table 1</t>
  </si>
  <si>
    <t>Change to the NWTA Dates</t>
  </si>
  <si>
    <t>VER {number}</t>
  </si>
  <si>
    <t>Change to WEC and phone number</t>
  </si>
  <si>
    <t>Autofilled - Greeting Coordinator</t>
  </si>
  <si>
    <t xml:space="preserve">Defaults to Midnight Adventure Coord, change if only if requested </t>
  </si>
  <si>
    <t>Autofill - Midnight Adventure Coordinator</t>
  </si>
  <si>
    <t>Autofilled from InnerEssence, remove unneeded men</t>
  </si>
  <si>
    <t>Choose from the Safety team</t>
  </si>
  <si>
    <t>This is usually the Trust Walk Coordinator</t>
  </si>
  <si>
    <t>Populate these if provided by RE</t>
  </si>
  <si>
    <t>For coordinators, assign "L" for coordinator(s) and "a" for assistants/mentors</t>
  </si>
  <si>
    <t>Usually a trained massage therapist who can bring his own table</t>
  </si>
  <si>
    <t>Can be a man in the trustwalk or safety team</t>
  </si>
  <si>
    <t>Cannot have roles on Sunday morning after Context</t>
  </si>
  <si>
    <t xml:space="preserve">The weekend administrator is a good choice </t>
  </si>
  <si>
    <t>Don't choose a man who is on the Trust Walk</t>
  </si>
  <si>
    <t>Needs to arrive early, and cannot be part of integrating the training</t>
  </si>
  <si>
    <t>Typically, this is the WEC or LIT</t>
  </si>
  <si>
    <t>Best choice is a man invovled in community leader</t>
  </si>
  <si>
    <t>Needs to arrive early with the rookies</t>
  </si>
  <si>
    <t>add default rule</t>
  </si>
  <si>
    <t>S/LIT</t>
  </si>
  <si>
    <t>Assign "x" to two LIT/CLC - provided by CLC on point</t>
  </si>
  <si>
    <t>Assign a rookie coordinator as the leader with "L" and up to 7 additional men</t>
  </si>
  <si>
    <t>Assign contraband coordinator with "L"</t>
  </si>
  <si>
    <t>LIT/CLC/CL</t>
  </si>
  <si>
    <t>Assign leader with "L" and two additional men with "x"</t>
  </si>
  <si>
    <t>set default to greeting coordinator</t>
  </si>
  <si>
    <t>Assign 2 men, one being the ritual elder</t>
  </si>
  <si>
    <t>4xLIT/CLC's</t>
  </si>
  <si>
    <t>Mark all 4 with "x"</t>
  </si>
  <si>
    <t>All breaks should have a Sr level man</t>
  </si>
  <si>
    <t>This man's role defaults to Greeting Troubleshooter, do not assign to another role on the Greeting</t>
  </si>
  <si>
    <t>Defaults to Medic and weekend adminstrator</t>
  </si>
  <si>
    <t>Staff Travel Coordintoar</t>
  </si>
  <si>
    <t>This man also does the renaming ceremony on Sunday</t>
  </si>
  <si>
    <t>Assign co-leader/clc with "L"</t>
  </si>
  <si>
    <t>Mark the LIT/CLC leader of all staff meetings with "L"  (CLC on point will providr these assignments0</t>
  </si>
  <si>
    <t>See SMF1</t>
  </si>
  <si>
    <t>Mark leader with "L".  Four men are minimum, 5 recommended.  These are speaking roles</t>
  </si>
  <si>
    <t>Avoid overloading the music coordinator with roles</t>
  </si>
  <si>
    <t>S,Medic,N,N,N,R</t>
  </si>
  <si>
    <t>Do not assign men on Midnight Adventure or that stayed with initiates in this time block</t>
  </si>
  <si>
    <t>Specify bandit leader with "L" and others with "x"</t>
  </si>
  <si>
    <t>Specify the wildman/gift team here, specify co-leader with "L"</t>
  </si>
  <si>
    <t>CL,S,M,M,N</t>
  </si>
  <si>
    <t>Specify cert leader with "L" + 4 men, do not include I-statements narrator here</t>
  </si>
  <si>
    <t xml:space="preserve">2-3 man team, specify leader with "L". </t>
  </si>
  <si>
    <t>Specify Mission Team here, mark co-leader with "L"</t>
  </si>
  <si>
    <t>Should one or both these slots be manned by RE/Elders</t>
  </si>
  <si>
    <t>great connection opportunity</t>
  </si>
  <si>
    <t>M,N, S?</t>
  </si>
  <si>
    <t>Autofilled from Wildman tean</t>
  </si>
  <si>
    <t>Do not assign men on the safety team or green man for trust walk</t>
  </si>
  <si>
    <t>2-3 man team, specify leader with "L".  Do not use same men as Saturday</t>
  </si>
  <si>
    <t>C74</t>
  </si>
  <si>
    <t>Chicken Carver Mentor</t>
  </si>
  <si>
    <t>LIT/CLC</t>
  </si>
  <si>
    <t>Man from Friday night?</t>
  </si>
  <si>
    <t>This is usually the Rookie Coordinator - If so, ignore</t>
  </si>
  <si>
    <t>ABC</t>
  </si>
  <si>
    <t>DEF</t>
  </si>
  <si>
    <t>Teams</t>
  </si>
  <si>
    <t>Mission</t>
  </si>
  <si>
    <t>Processes</t>
  </si>
  <si>
    <t xml:space="preserve">specify the safety team here, 5-7 men, include safety team lead (w/"L") and medic </t>
  </si>
  <si>
    <t>Autofilled from the team block above</t>
  </si>
  <si>
    <t>Mission Team</t>
  </si>
  <si>
    <t>Assignments: x = assign/team member, #=same/not in role count, L = process leader, C = supporting cert leader, CC = clc, B = assign a break, a = assistant</t>
  </si>
  <si>
    <t>Specify the GNR team here, mark GNR lead with an "L"</t>
  </si>
  <si>
    <t>GNR Ceremony</t>
  </si>
  <si>
    <t>Alone Time - 2nd Team</t>
  </si>
  <si>
    <t>SU02-8</t>
  </si>
  <si>
    <t>Ancestors</t>
  </si>
  <si>
    <t>`</t>
  </si>
  <si>
    <t>C75</t>
  </si>
  <si>
    <t>Not used in most communities</t>
  </si>
  <si>
    <t>Safety team is also on Trust Walk</t>
  </si>
  <si>
    <t>SA76</t>
  </si>
  <si>
    <t>River of Grief</t>
  </si>
  <si>
    <t>Sexual Gold</t>
  </si>
  <si>
    <t>Defaults to sexual shadow team</t>
  </si>
  <si>
    <t>SU09-1</t>
  </si>
  <si>
    <t>Ritual of the Carpets</t>
  </si>
  <si>
    <t>FR31</t>
  </si>
  <si>
    <t>R,R,R,R,R,R</t>
  </si>
  <si>
    <t>Choose 6 novice or rookies, mark coleader with "L"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</si>
</sst>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DAEEF3"/>
      <name val="Calibri"/>
    </font>
    <font>
      <sz val="10"/>
      <color rgb="FF000000"/>
      <name val="Calibri"/>
    </font>
    <font>
      <sz val="11"/>
      <color rgb="FF000000"/>
      <name val="Calibri"/>
      <scheme val="minor"/>
    </font>
    <font>
      <sz val="10"/>
      <color theme="1"/>
      <name val="Times New Roman"/>
    </font>
    <font>
      <sz val="11"/>
      <color rgb="FF000000"/>
      <name val="Calibri"/>
    </font>
    <font>
      <i/>
      <sz val="10"/>
      <color rgb="FF000000"/>
      <name val="Calibri"/>
    </font>
    <font>
      <sz val="10"/>
      <color rgb="FF00000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11"/>
    <xf numFmtId="0" fontId="15" fillId="0" borderId="11"/>
    <xf numFmtId="0" fontId="15" fillId="0" borderId="11"/>
  </cellStyleXfs>
  <cellXfs count="125">
    <xf numFmtId="0" fontId="0" fillId="0" borderId="0" xfId="0"/>
    <xf numFmtId="0" fontId="5" fillId="2" borderId="1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8" fillId="0" borderId="0" xfId="0" applyFont="1"/>
    <xf numFmtId="0" fontId="5" fillId="0" borderId="0" xfId="0" applyFont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5" fillId="0" borderId="7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12" fillId="0" borderId="4" xfId="0" applyFont="1" applyBorder="1" applyAlignment="1">
      <alignment horizontal="left" vertical="top" wrapText="1"/>
    </xf>
    <xf numFmtId="0" fontId="6" fillId="0" borderId="13" xfId="0" applyFont="1" applyBorder="1"/>
    <xf numFmtId="0" fontId="5" fillId="0" borderId="14" xfId="0" applyFont="1" applyBorder="1" applyAlignment="1">
      <alignment horizontal="left" vertical="top" wrapText="1"/>
    </xf>
    <xf numFmtId="20" fontId="5" fillId="0" borderId="4" xfId="0" applyNumberFormat="1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7" fillId="0" borderId="0" xfId="0" applyFont="1"/>
    <xf numFmtId="0" fontId="13" fillId="0" borderId="0" xfId="0" applyFont="1"/>
    <xf numFmtId="0" fontId="6" fillId="0" borderId="1" xfId="0" applyFont="1" applyBorder="1"/>
    <xf numFmtId="0" fontId="6" fillId="0" borderId="0" xfId="0" applyFont="1"/>
    <xf numFmtId="0" fontId="6" fillId="0" borderId="11" xfId="0" applyFont="1" applyBorder="1"/>
    <xf numFmtId="0" fontId="6" fillId="0" borderId="12" xfId="0" applyFont="1" applyBorder="1"/>
    <xf numFmtId="0" fontId="6" fillId="0" borderId="15" xfId="0" applyFont="1" applyBorder="1"/>
    <xf numFmtId="0" fontId="4" fillId="0" borderId="11" xfId="1"/>
    <xf numFmtId="0" fontId="8" fillId="0" borderId="11" xfId="0" applyFont="1" applyBorder="1"/>
    <xf numFmtId="0" fontId="0" fillId="0" borderId="11" xfId="0" applyBorder="1"/>
    <xf numFmtId="0" fontId="0" fillId="0" borderId="20" xfId="0" applyBorder="1"/>
    <xf numFmtId="0" fontId="8" fillId="0" borderId="20" xfId="0" applyFont="1" applyBorder="1"/>
    <xf numFmtId="0" fontId="6" fillId="0" borderId="17" xfId="0" applyFont="1" applyBorder="1"/>
    <xf numFmtId="0" fontId="6" fillId="0" borderId="18" xfId="0" applyFont="1" applyBorder="1"/>
    <xf numFmtId="0" fontId="5" fillId="0" borderId="22" xfId="0" applyFont="1" applyBorder="1" applyAlignment="1">
      <alignment horizontal="left" vertical="top" wrapText="1"/>
    </xf>
    <xf numFmtId="0" fontId="6" fillId="0" borderId="19" xfId="0" applyFont="1" applyBorder="1"/>
    <xf numFmtId="0" fontId="11" fillId="0" borderId="11" xfId="0" applyFont="1" applyBorder="1"/>
    <xf numFmtId="0" fontId="0" fillId="0" borderId="21" xfId="0" applyBorder="1"/>
    <xf numFmtId="0" fontId="5" fillId="6" borderId="4" xfId="0" applyFont="1" applyFill="1" applyBorder="1" applyAlignment="1">
      <alignment horizontal="left" vertical="top" wrapText="1"/>
    </xf>
    <xf numFmtId="0" fontId="6" fillId="6" borderId="4" xfId="0" applyFont="1" applyFill="1" applyBorder="1"/>
    <xf numFmtId="0" fontId="0" fillId="6" borderId="0" xfId="0" applyFill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5" fillId="0" borderId="25" xfId="0" applyFont="1" applyBorder="1" applyAlignment="1">
      <alignment horizontal="left" vertical="top" wrapText="1"/>
    </xf>
    <xf numFmtId="0" fontId="6" fillId="0" borderId="20" xfId="0" applyFont="1" applyBorder="1"/>
    <xf numFmtId="0" fontId="6" fillId="0" borderId="21" xfId="0" applyFont="1" applyBorder="1"/>
    <xf numFmtId="0" fontId="6" fillId="0" borderId="14" xfId="0" applyFont="1" applyBorder="1"/>
    <xf numFmtId="0" fontId="6" fillId="0" borderId="16" xfId="0" applyFont="1" applyBorder="1"/>
    <xf numFmtId="0" fontId="5" fillId="0" borderId="27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30" xfId="0" applyFont="1" applyBorder="1"/>
    <xf numFmtId="0" fontId="6" fillId="0" borderId="31" xfId="0" applyFont="1" applyBorder="1"/>
    <xf numFmtId="0" fontId="5" fillId="0" borderId="26" xfId="0" applyFont="1" applyBorder="1" applyAlignment="1">
      <alignment horizontal="left" vertical="top"/>
    </xf>
    <xf numFmtId="0" fontId="6" fillId="0" borderId="26" xfId="0" applyFont="1" applyBorder="1"/>
    <xf numFmtId="0" fontId="0" fillId="0" borderId="32" xfId="0" applyBorder="1"/>
    <xf numFmtId="0" fontId="0" fillId="0" borderId="33" xfId="0" applyBorder="1"/>
    <xf numFmtId="0" fontId="6" fillId="0" borderId="33" xfId="0" applyFont="1" applyBorder="1"/>
    <xf numFmtId="0" fontId="5" fillId="0" borderId="34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" xfId="0" applyFont="1" applyBorder="1"/>
    <xf numFmtId="0" fontId="3" fillId="0" borderId="0" xfId="0" applyFont="1"/>
    <xf numFmtId="0" fontId="16" fillId="0" borderId="35" xfId="0" applyFont="1" applyBorder="1" applyAlignment="1">
      <alignment textRotation="90"/>
    </xf>
    <xf numFmtId="0" fontId="16" fillId="0" borderId="36" xfId="0" applyFont="1" applyBorder="1" applyAlignment="1">
      <alignment textRotation="90"/>
    </xf>
    <xf numFmtId="0" fontId="16" fillId="3" borderId="36" xfId="0" applyFont="1" applyFill="1" applyBorder="1" applyAlignment="1">
      <alignment textRotation="90"/>
    </xf>
    <xf numFmtId="0" fontId="16" fillId="0" borderId="37" xfId="0" applyFont="1" applyBorder="1" applyAlignment="1">
      <alignment textRotation="90"/>
    </xf>
    <xf numFmtId="0" fontId="5" fillId="0" borderId="5" xfId="0" applyFont="1" applyBorder="1" applyAlignment="1">
      <alignment horizontal="left" vertical="top" wrapText="1"/>
    </xf>
    <xf numFmtId="0" fontId="6" fillId="0" borderId="38" xfId="0" applyFont="1" applyBorder="1"/>
    <xf numFmtId="0" fontId="17" fillId="0" borderId="4" xfId="0" applyFont="1" applyBorder="1"/>
    <xf numFmtId="0" fontId="18" fillId="0" borderId="4" xfId="0" applyFont="1" applyBorder="1" applyAlignment="1">
      <alignment horizontal="left" vertical="top" wrapText="1"/>
    </xf>
    <xf numFmtId="0" fontId="18" fillId="0" borderId="28" xfId="0" applyFont="1" applyBorder="1" applyAlignment="1">
      <alignment horizontal="left" vertical="top"/>
    </xf>
    <xf numFmtId="0" fontId="6" fillId="6" borderId="7" xfId="0" applyFont="1" applyFill="1" applyBorder="1"/>
    <xf numFmtId="0" fontId="5" fillId="0" borderId="40" xfId="0" applyFont="1" applyBorder="1"/>
    <xf numFmtId="0" fontId="5" fillId="2" borderId="16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wrapText="1"/>
    </xf>
    <xf numFmtId="0" fontId="5" fillId="0" borderId="41" xfId="0" applyFont="1" applyBorder="1" applyAlignment="1">
      <alignment horizontal="left" vertical="top" wrapText="1"/>
    </xf>
    <xf numFmtId="0" fontId="5" fillId="4" borderId="14" xfId="0" applyFont="1" applyFill="1" applyBorder="1" applyAlignment="1">
      <alignment horizontal="left" vertical="top" wrapText="1"/>
    </xf>
    <xf numFmtId="0" fontId="5" fillId="5" borderId="42" xfId="0" applyFont="1" applyFill="1" applyBorder="1" applyAlignment="1">
      <alignment horizontal="left" vertical="top" wrapText="1"/>
    </xf>
    <xf numFmtId="0" fontId="5" fillId="0" borderId="43" xfId="0" applyFont="1" applyBorder="1" applyAlignment="1">
      <alignment horizontal="left" vertical="top" wrapText="1"/>
    </xf>
    <xf numFmtId="0" fontId="5" fillId="0" borderId="44" xfId="0" applyFont="1" applyBorder="1" applyAlignment="1">
      <alignment horizontal="left" vertical="top" wrapText="1"/>
    </xf>
    <xf numFmtId="0" fontId="5" fillId="0" borderId="45" xfId="0" applyFont="1" applyBorder="1" applyAlignment="1">
      <alignment horizontal="left" vertical="top" wrapText="1"/>
    </xf>
    <xf numFmtId="0" fontId="5" fillId="6" borderId="14" xfId="0" applyFont="1" applyFill="1" applyBorder="1" applyAlignment="1">
      <alignment horizontal="left" vertical="top" wrapText="1"/>
    </xf>
    <xf numFmtId="0" fontId="5" fillId="0" borderId="46" xfId="0" applyFont="1" applyBorder="1" applyAlignment="1">
      <alignment horizontal="left" vertical="top" wrapText="1"/>
    </xf>
    <xf numFmtId="0" fontId="8" fillId="0" borderId="47" xfId="0" applyFont="1" applyBorder="1"/>
    <xf numFmtId="0" fontId="0" fillId="0" borderId="26" xfId="0" applyBorder="1"/>
    <xf numFmtId="0" fontId="8" fillId="0" borderId="26" xfId="0" applyFont="1" applyBorder="1"/>
    <xf numFmtId="0" fontId="8" fillId="6" borderId="26" xfId="0" applyFont="1" applyFill="1" applyBorder="1"/>
    <xf numFmtId="0" fontId="19" fillId="2" borderId="46" xfId="0" applyFont="1" applyFill="1" applyBorder="1"/>
    <xf numFmtId="0" fontId="5" fillId="2" borderId="14" xfId="0" applyFont="1" applyFill="1" applyBorder="1"/>
    <xf numFmtId="0" fontId="5" fillId="2" borderId="31" xfId="0" applyFont="1" applyFill="1" applyBorder="1"/>
    <xf numFmtId="0" fontId="18" fillId="0" borderId="40" xfId="0" applyFont="1" applyBorder="1" applyAlignment="1">
      <alignment horizontal="left" vertical="top"/>
    </xf>
    <xf numFmtId="0" fontId="2" fillId="0" borderId="0" xfId="0" applyFont="1"/>
    <xf numFmtId="0" fontId="8" fillId="0" borderId="17" xfId="0" applyFont="1" applyBorder="1"/>
    <xf numFmtId="0" fontId="0" fillId="0" borderId="18" xfId="0" applyBorder="1"/>
    <xf numFmtId="0" fontId="0" fillId="0" borderId="19" xfId="0" applyBorder="1"/>
    <xf numFmtId="0" fontId="19" fillId="5" borderId="50" xfId="0" applyFont="1" applyFill="1" applyBorder="1" applyAlignment="1">
      <alignment horizontal="left" vertical="top"/>
    </xf>
    <xf numFmtId="0" fontId="18" fillId="0" borderId="51" xfId="0" applyFont="1" applyBorder="1" applyAlignment="1">
      <alignment horizontal="left" vertical="top"/>
    </xf>
    <xf numFmtId="0" fontId="8" fillId="0" borderId="39" xfId="0" applyFont="1" applyBorder="1"/>
    <xf numFmtId="0" fontId="19" fillId="5" borderId="53" xfId="0" applyFont="1" applyFill="1" applyBorder="1" applyAlignment="1">
      <alignment horizontal="left" vertical="top"/>
    </xf>
    <xf numFmtId="0" fontId="5" fillId="0" borderId="48" xfId="0" applyFont="1" applyBorder="1"/>
    <xf numFmtId="0" fontId="17" fillId="0" borderId="26" xfId="0" applyFont="1" applyBorder="1"/>
    <xf numFmtId="0" fontId="18" fillId="0" borderId="14" xfId="0" applyFont="1" applyBorder="1"/>
    <xf numFmtId="0" fontId="5" fillId="7" borderId="16" xfId="0" applyFont="1" applyFill="1" applyBorder="1" applyAlignment="1">
      <alignment horizontal="left" vertical="top" wrapText="1"/>
    </xf>
    <xf numFmtId="0" fontId="18" fillId="7" borderId="4" xfId="0" applyFont="1" applyFill="1" applyBorder="1" applyAlignment="1">
      <alignment horizontal="left" vertical="top" wrapText="1"/>
    </xf>
    <xf numFmtId="0" fontId="6" fillId="7" borderId="4" xfId="0" applyFont="1" applyFill="1" applyBorder="1"/>
    <xf numFmtId="0" fontId="5" fillId="7" borderId="4" xfId="0" applyFont="1" applyFill="1" applyBorder="1" applyAlignment="1">
      <alignment horizontal="left" vertical="top" wrapText="1"/>
    </xf>
    <xf numFmtId="0" fontId="2" fillId="0" borderId="11" xfId="0" applyFont="1" applyBorder="1"/>
    <xf numFmtId="0" fontId="6" fillId="8" borderId="4" xfId="0" applyFont="1" applyFill="1" applyBorder="1"/>
    <xf numFmtId="0" fontId="18" fillId="0" borderId="14" xfId="0" applyFont="1" applyBorder="1" applyAlignment="1">
      <alignment horizontal="left" vertical="top" wrapText="1"/>
    </xf>
    <xf numFmtId="0" fontId="2" fillId="0" borderId="26" xfId="0" applyFont="1" applyBorder="1"/>
    <xf numFmtId="0" fontId="18" fillId="0" borderId="45" xfId="0" applyFont="1" applyBorder="1" applyAlignment="1">
      <alignment horizontal="left" vertical="top" wrapText="1"/>
    </xf>
    <xf numFmtId="0" fontId="5" fillId="0" borderId="54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47" xfId="0" applyFont="1" applyBorder="1" applyAlignment="1">
      <alignment horizontal="left" vertical="top" wrapText="1"/>
    </xf>
    <xf numFmtId="0" fontId="18" fillId="0" borderId="55" xfId="0" applyFont="1" applyBorder="1" applyAlignment="1">
      <alignment horizontal="left" vertical="top" wrapText="1"/>
    </xf>
    <xf numFmtId="0" fontId="5" fillId="0" borderId="49" xfId="0" applyFont="1" applyBorder="1" applyAlignment="1">
      <alignment horizontal="left" vertical="top" wrapText="1"/>
    </xf>
    <xf numFmtId="0" fontId="17" fillId="0" borderId="12" xfId="0" applyFont="1" applyBorder="1"/>
    <xf numFmtId="0" fontId="17" fillId="0" borderId="52" xfId="0" applyFont="1" applyBorder="1"/>
    <xf numFmtId="0" fontId="18" fillId="6" borderId="30" xfId="0" applyFont="1" applyFill="1" applyBorder="1" applyAlignment="1">
      <alignment horizontal="left" vertical="top" wrapText="1"/>
    </xf>
    <xf numFmtId="0" fontId="5" fillId="7" borderId="40" xfId="0" applyFont="1" applyFill="1" applyBorder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1" fillId="0" borderId="26" xfId="0" applyFont="1" applyBorder="1"/>
  </cellXfs>
  <cellStyles count="4">
    <cellStyle name="Normal" xfId="0" builtinId="0"/>
    <cellStyle name="Normal 2" xfId="3" xr:uid="{54143C85-B8C7-4BC9-80ED-8C4375F20CF2}"/>
    <cellStyle name="Normal 3" xfId="1" xr:uid="{BE3BA55B-F541-486B-BF30-24E40EE75697}"/>
    <cellStyle name="Normal 4" xfId="2" xr:uid="{C69CD258-BA8B-49D9-8B33-DE05DAA7E017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13"/>
  <sheetViews>
    <sheetView tabSelected="1" workbookViewId="0">
      <pane ySplit="5" topLeftCell="A129" activePane="bottomLeft" state="frozen"/>
      <selection pane="bottomLeft" activeCell="AD77" sqref="AD77"/>
    </sheetView>
  </sheetViews>
  <sheetFormatPr defaultColWidth="14.42578125" defaultRowHeight="15" customHeight="1" outlineLevelRow="1" x14ac:dyDescent="0.25"/>
  <cols>
    <col min="1" max="1" width="7.85546875" customWidth="1"/>
    <col min="2" max="2" width="24.5703125" customWidth="1"/>
    <col min="3" max="6" width="3.42578125" customWidth="1"/>
    <col min="7" max="7" width="3.5703125" customWidth="1"/>
    <col min="8" max="8" width="3.28515625" customWidth="1"/>
    <col min="9" max="12" width="3.42578125" customWidth="1"/>
    <col min="13" max="14" width="3.28515625" customWidth="1"/>
    <col min="15" max="15" width="3.42578125" customWidth="1"/>
    <col min="16" max="16" width="3.5703125" customWidth="1"/>
    <col min="17" max="17" width="3.28515625" customWidth="1"/>
    <col min="18" max="21" width="3.42578125" customWidth="1"/>
    <col min="22" max="24" width="3.28515625" customWidth="1"/>
    <col min="25" max="25" width="3.140625" customWidth="1"/>
    <col min="26" max="28" width="3.28515625" customWidth="1"/>
    <col min="29" max="29" width="3.42578125" customWidth="1"/>
    <col min="30" max="30" width="3.140625" customWidth="1"/>
    <col min="31" max="31" width="3.28515625" customWidth="1"/>
    <col min="32" max="32" width="3.140625" customWidth="1"/>
    <col min="33" max="33" width="3.28515625" customWidth="1"/>
    <col min="34" max="38" width="3.42578125" customWidth="1"/>
    <col min="39" max="40" width="3.7109375" customWidth="1"/>
    <col min="41" max="41" width="3.5703125" customWidth="1"/>
    <col min="42" max="43" width="3.42578125" customWidth="1"/>
    <col min="44" max="50" width="3.28515625" customWidth="1"/>
    <col min="51" max="51" width="3.5703125" customWidth="1"/>
    <col min="52" max="52" width="3.28515625" customWidth="1"/>
    <col min="53" max="53" width="15.28515625" customWidth="1"/>
    <col min="54" max="54" width="58.85546875" customWidth="1"/>
  </cols>
  <sheetData>
    <row r="1" spans="1:54" ht="115.5" customHeight="1" outlineLevel="1" thickBot="1" x14ac:dyDescent="0.3">
      <c r="B1" s="1"/>
      <c r="C1" s="65"/>
      <c r="D1" s="66"/>
      <c r="E1" s="66"/>
      <c r="F1" s="67"/>
      <c r="G1" s="66"/>
      <c r="H1" s="66"/>
      <c r="I1" s="67"/>
      <c r="J1" s="66"/>
      <c r="K1" s="66"/>
      <c r="L1" s="66"/>
      <c r="M1" s="67"/>
      <c r="N1" s="67"/>
      <c r="O1" s="67"/>
      <c r="P1" s="66"/>
      <c r="Q1" s="66"/>
      <c r="R1" s="67"/>
      <c r="S1" s="66"/>
      <c r="T1" s="66"/>
      <c r="U1" s="66"/>
      <c r="V1" s="67"/>
      <c r="W1" s="67"/>
      <c r="X1" s="67"/>
      <c r="Y1" s="67"/>
      <c r="Z1" s="67"/>
      <c r="AA1" s="66"/>
      <c r="AB1" s="66"/>
      <c r="AC1" s="66"/>
      <c r="AD1" s="66"/>
      <c r="AE1" s="67"/>
      <c r="AF1" s="66"/>
      <c r="AG1" s="67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8"/>
      <c r="BA1" s="63" t="s">
        <v>0</v>
      </c>
      <c r="BB1" s="2" t="s">
        <v>1</v>
      </c>
    </row>
    <row r="2" spans="1:54" outlineLevel="1" x14ac:dyDescent="0.25">
      <c r="A2" s="56"/>
      <c r="B2" s="91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6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BA2" s="27" t="s">
        <v>2</v>
      </c>
      <c r="BB2" s="4" t="s">
        <v>2</v>
      </c>
    </row>
    <row r="3" spans="1:54" outlineLevel="1" x14ac:dyDescent="0.25">
      <c r="A3" s="56"/>
      <c r="B3" s="91" t="s">
        <v>3</v>
      </c>
      <c r="C3" s="4"/>
      <c r="D3" s="4"/>
      <c r="E3" s="4"/>
      <c r="G3" s="4"/>
      <c r="H3" s="4"/>
      <c r="J3" s="4"/>
      <c r="L3" s="4"/>
      <c r="M3" s="4"/>
      <c r="N3" s="4"/>
      <c r="P3" s="4"/>
      <c r="Q3" s="4"/>
      <c r="S3" s="4"/>
      <c r="U3" s="4"/>
      <c r="V3" s="4"/>
      <c r="W3" s="4"/>
      <c r="X3" s="4"/>
      <c r="Y3" s="4"/>
      <c r="Z3" s="4"/>
      <c r="AB3" s="4"/>
      <c r="AC3" s="4"/>
      <c r="AE3" s="4"/>
      <c r="AX3" s="6"/>
      <c r="BA3" s="27" t="s">
        <v>320</v>
      </c>
      <c r="BB3" s="4" t="s">
        <v>5</v>
      </c>
    </row>
    <row r="4" spans="1:54" outlineLevel="1" x14ac:dyDescent="0.25">
      <c r="A4" s="56"/>
      <c r="B4" s="91" t="s">
        <v>6</v>
      </c>
      <c r="C4" s="4">
        <f t="array" ref="C4">SUM(COUNTIFS(C48:C165, "B"))</f>
        <v>0</v>
      </c>
      <c r="D4" s="4">
        <f t="array" ref="D4">SUM(COUNTIFS(D48:D165, "B"))</f>
        <v>0</v>
      </c>
      <c r="E4" s="4">
        <f t="array" ref="E4">SUM(COUNTIFS(E48:E165, "B"))</f>
        <v>0</v>
      </c>
      <c r="F4" s="4">
        <f t="array" ref="F4">SUM(COUNTIFS(F48:F165, "B"))</f>
        <v>0</v>
      </c>
      <c r="G4" s="4">
        <f t="array" ref="G4">SUM(COUNTIFS(G48:G165, "B"))</f>
        <v>0</v>
      </c>
      <c r="H4" s="4">
        <f t="array" ref="H4">SUM(COUNTIFS(H48:H165, "B"))</f>
        <v>0</v>
      </c>
      <c r="I4" s="4">
        <f t="array" ref="I4">SUM(COUNTIFS(I48:I165, "B"))</f>
        <v>0</v>
      </c>
      <c r="J4" s="4">
        <f t="array" ref="J4">SUM(COUNTIFS(J48:J165, "B"))</f>
        <v>0</v>
      </c>
      <c r="K4" s="4">
        <f t="array" ref="K4">SUM(COUNTIFS(K48:K165, "B"))</f>
        <v>0</v>
      </c>
      <c r="L4" s="4">
        <f t="array" ref="L4">SUM(COUNTIFS(L48:L165, "B"))</f>
        <v>0</v>
      </c>
      <c r="M4" s="4">
        <f t="array" ref="M4">SUM(COUNTIFS(M48:M165, "B"))</f>
        <v>0</v>
      </c>
      <c r="N4" s="4">
        <f t="array" ref="N4">SUM(COUNTIFS(N48:N165, "B"))</f>
        <v>0</v>
      </c>
      <c r="O4" s="4">
        <f t="array" ref="O4">SUM(COUNTIFS(O48:O165, "B"))</f>
        <v>0</v>
      </c>
      <c r="P4" s="4">
        <f t="array" ref="P4">SUM(COUNTIFS(P48:P165, "B"))</f>
        <v>0</v>
      </c>
      <c r="Q4" s="4">
        <f t="array" ref="Q4">SUM(COUNTIFS(Q48:Q165, "B"))</f>
        <v>0</v>
      </c>
      <c r="R4" s="4">
        <f t="array" ref="R4">SUM(COUNTIFS(R48:R165, "B"))</f>
        <v>0</v>
      </c>
      <c r="S4" s="4">
        <f t="array" ref="S4">SUM(COUNTIFS(S48:S165, "B"))</f>
        <v>0</v>
      </c>
      <c r="T4" s="4">
        <f t="array" ref="T4">SUM(COUNTIFS(T48:T165, "B"))</f>
        <v>0</v>
      </c>
      <c r="U4" s="4">
        <f t="array" ref="U4">SUM(COUNTIFS(U48:U165, "B"))</f>
        <v>0</v>
      </c>
      <c r="V4" s="4">
        <f t="array" ref="V4">SUM(COUNTIFS(V48:V165, "B"))</f>
        <v>0</v>
      </c>
      <c r="W4" s="4">
        <f t="array" ref="W4">SUM(COUNTIFS(W48:W165, "B"))</f>
        <v>0</v>
      </c>
      <c r="X4" s="4">
        <f t="array" ref="X4">SUM(COUNTIFS(X48:X165, "B"))</f>
        <v>0</v>
      </c>
      <c r="Y4" s="4">
        <f t="array" ref="Y4">SUM(COUNTIFS(Y48:Y165, "B"))</f>
        <v>0</v>
      </c>
      <c r="Z4" s="4">
        <f t="array" ref="Z4">SUM(COUNTIFS(Z48:Z165, "B"))</f>
        <v>0</v>
      </c>
      <c r="AA4" s="4">
        <f t="array" ref="AA4">SUM(COUNTIFS(AA48:AA165, "B"))</f>
        <v>0</v>
      </c>
      <c r="AB4" s="4">
        <f t="array" ref="AB4">SUM(COUNTIFS(AB48:AB165, "B"))</f>
        <v>0</v>
      </c>
      <c r="AC4" s="4">
        <f t="array" ref="AC4">SUM(COUNTIFS(AC48:AC165, "B"))</f>
        <v>0</v>
      </c>
      <c r="AD4" s="4">
        <f t="array" ref="AD4">SUM(COUNTIFS(AD48:AD165, "B"))</f>
        <v>0</v>
      </c>
      <c r="AE4" s="4">
        <f t="array" ref="AE4">SUM(COUNTIFS(AE48:AE165, "B"))</f>
        <v>0</v>
      </c>
      <c r="AF4" s="4">
        <f t="array" ref="AF4">SUM(COUNTIFS(AF48:AF165, "B"))</f>
        <v>0</v>
      </c>
      <c r="AG4" s="4">
        <f t="array" ref="AG4">SUM(COUNTIFS(AG48:AG165, "B"))</f>
        <v>0</v>
      </c>
      <c r="AH4" s="4">
        <f t="array" ref="AH4">SUM(COUNTIFS(AH48:AH165, "B"))</f>
        <v>0</v>
      </c>
      <c r="AI4" s="4">
        <f t="array" ref="AI4">SUM(COUNTIFS(AI48:AI165, "B"))</f>
        <v>0</v>
      </c>
      <c r="AJ4" s="4">
        <f t="array" ref="AJ4">SUM(COUNTIFS(AJ48:AJ165, "B"))</f>
        <v>0</v>
      </c>
      <c r="AK4" s="4">
        <f t="array" ref="AK4">SUM(COUNTIFS(AK48:AK165, "B"))</f>
        <v>0</v>
      </c>
      <c r="AL4" s="4">
        <f t="array" ref="AL4">SUM(COUNTIFS(AL48:AL165, "B"))</f>
        <v>0</v>
      </c>
      <c r="AM4" s="4">
        <f t="array" ref="AM4">SUM(COUNTIFS(AM48:AM165, "B"))</f>
        <v>0</v>
      </c>
      <c r="AN4" s="4">
        <f t="array" ref="AN4">SUM(COUNTIFS(AN48:AN165, "B"))</f>
        <v>0</v>
      </c>
      <c r="AO4" s="4">
        <f t="array" ref="AO4">SUM(COUNTIFS(AO48:AO165, "B"))</f>
        <v>0</v>
      </c>
      <c r="AP4" s="4">
        <f t="array" ref="AP4">SUM(COUNTIFS(AP48:AP165, "B"))</f>
        <v>0</v>
      </c>
      <c r="AQ4" s="4">
        <f t="array" ref="AQ4">SUM(COUNTIFS(AQ48:AQ165, "B"))</f>
        <v>0</v>
      </c>
      <c r="AR4" s="4">
        <f t="array" ref="AR4">SUM(COUNTIFS(AR48:AR165, "B"))</f>
        <v>0</v>
      </c>
      <c r="AS4" s="4">
        <f t="array" ref="AS4">SUM(COUNTIFS(AS48:AS165, "B"))</f>
        <v>0</v>
      </c>
      <c r="AT4" s="4">
        <f t="array" ref="AT4">SUM(COUNTIFS(AT48:AT165, "B"))</f>
        <v>0</v>
      </c>
      <c r="AU4" s="4">
        <f t="array" ref="AU4">SUM(COUNTIFS(AU48:AU165, "B"))</f>
        <v>0</v>
      </c>
      <c r="AV4" s="4">
        <f t="array" ref="AV4">SUM(COUNTIFS(AV48:AV165, "B"))</f>
        <v>0</v>
      </c>
      <c r="AW4" s="4">
        <f t="array" ref="AW4">SUM(COUNTIFS(AW48:AW165, "B"))</f>
        <v>0</v>
      </c>
      <c r="AX4" s="4">
        <f t="array" ref="AX4">SUM(COUNTIFS(AX48:AX165, "B"))</f>
        <v>0</v>
      </c>
      <c r="AY4" s="4">
        <f t="array" ref="AY4">SUM(COUNTIFS(AY48:AY165, "B"))</f>
        <v>0</v>
      </c>
      <c r="AZ4" s="4">
        <f t="array" ref="AZ4">SUM(COUNTIFS(AZ48:AZ165, "B"))</f>
        <v>0</v>
      </c>
      <c r="BA4" s="5"/>
    </row>
    <row r="5" spans="1:54" ht="15.75" outlineLevel="1" thickBot="1" x14ac:dyDescent="0.3">
      <c r="A5" s="56"/>
      <c r="B5" s="92" t="s">
        <v>7</v>
      </c>
      <c r="C5" s="4">
        <f t="array" ref="C5">SUM(COUNTIFS(C48:C165, {"x","L"}))</f>
        <v>0</v>
      </c>
      <c r="D5" s="4">
        <f t="array" ref="D5">SUM(COUNTIFS(D48:D165, {"x","L"}))</f>
        <v>0</v>
      </c>
      <c r="E5" s="4">
        <f t="array" ref="E5">SUM(COUNTIFS(E48:E165, {"x","L"}))</f>
        <v>0</v>
      </c>
      <c r="F5" s="4">
        <f t="array" ref="F5">SUM(COUNTIFS(F48:F165, {"x","L"}))</f>
        <v>0</v>
      </c>
      <c r="G5" s="4">
        <f t="array" ref="G5">SUM(COUNTIFS(G48:G165, {"x","L"}))</f>
        <v>0</v>
      </c>
      <c r="H5" s="4">
        <f t="array" ref="H5">SUM(COUNTIFS(H48:H165, {"x","L"}))</f>
        <v>0</v>
      </c>
      <c r="I5" s="4">
        <f t="array" ref="I5">SUM(COUNTIFS(I48:I165, {"x","L"}))</f>
        <v>0</v>
      </c>
      <c r="J5" s="4">
        <f t="array" ref="J5">SUM(COUNTIFS(J48:J165, {"x","L"}))</f>
        <v>0</v>
      </c>
      <c r="K5" s="4">
        <f t="array" ref="K5">SUM(COUNTIFS(K48:K165, {"x","L"}))</f>
        <v>0</v>
      </c>
      <c r="L5" s="4">
        <f t="array" ref="L5">SUM(COUNTIFS(L48:L165, {"x","L"}))</f>
        <v>0</v>
      </c>
      <c r="M5" s="4">
        <f t="array" ref="M5">SUM(COUNTIFS(M48:M165, {"x","L"}))</f>
        <v>0</v>
      </c>
      <c r="N5" s="4">
        <f t="array" ref="N5">SUM(COUNTIFS(N48:N165, {"x","L"}))</f>
        <v>0</v>
      </c>
      <c r="O5" s="4">
        <f t="array" ref="O5">SUM(COUNTIFS(O48:O165, {"x","L"}))</f>
        <v>0</v>
      </c>
      <c r="P5" s="4">
        <f t="array" ref="P5">SUM(COUNTIFS(P48:P165, {"x","L"}))</f>
        <v>0</v>
      </c>
      <c r="Q5" s="4">
        <f t="array" ref="Q5">SUM(COUNTIFS(Q48:Q165, {"x","L"}))</f>
        <v>0</v>
      </c>
      <c r="R5" s="4">
        <f t="array" ref="R5">SUM(COUNTIFS(R48:R165, {"x","L"}))</f>
        <v>0</v>
      </c>
      <c r="S5" s="4">
        <f t="array" ref="S5">SUM(COUNTIFS(S48:S165, {"x","L"}))</f>
        <v>0</v>
      </c>
      <c r="T5" s="4">
        <f t="array" ref="T5">SUM(COUNTIFS(T48:T165, {"x","L"}))</f>
        <v>0</v>
      </c>
      <c r="U5" s="4">
        <f t="array" ref="U5">SUM(COUNTIFS(U48:U165, {"x","L"}))</f>
        <v>0</v>
      </c>
      <c r="V5" s="4">
        <f t="array" ref="V5">SUM(COUNTIFS(V48:V165, {"x","L"}))</f>
        <v>0</v>
      </c>
      <c r="W5" s="4">
        <f t="array" ref="W5">SUM(COUNTIFS(W48:W165, {"x","L"}))</f>
        <v>0</v>
      </c>
      <c r="X5" s="4">
        <f t="array" ref="X5">SUM(COUNTIFS(X48:X165, {"x","L"}))</f>
        <v>0</v>
      </c>
      <c r="Y5" s="4">
        <f t="array" ref="Y5">SUM(COUNTIFS(Y48:Y165, {"x","L"}))</f>
        <v>0</v>
      </c>
      <c r="Z5" s="4">
        <f t="array" ref="Z5">SUM(COUNTIFS(Z48:Z165, {"x","L"}))</f>
        <v>0</v>
      </c>
      <c r="AA5" s="4">
        <f t="array" ref="AA5">SUM(COUNTIFS(AA48:AA165, {"x","L"}))</f>
        <v>0</v>
      </c>
      <c r="AB5" s="4">
        <f t="array" ref="AB5">SUM(COUNTIFS(AB48:AB165, {"x","L"}))</f>
        <v>0</v>
      </c>
      <c r="AC5" s="4">
        <f t="array" ref="AC5">SUM(COUNTIFS(AC48:AC165, {"x","L"}))</f>
        <v>0</v>
      </c>
      <c r="AD5" s="4">
        <f t="array" ref="AD5">SUM(COUNTIFS(AD48:AD165, {"x","L"}))</f>
        <v>0</v>
      </c>
      <c r="AE5" s="4">
        <f t="array" ref="AE5">SUM(COUNTIFS(AE48:AE165, {"x","L"}))</f>
        <v>0</v>
      </c>
      <c r="AF5" s="4">
        <f t="array" ref="AF5">SUM(COUNTIFS(AF48:AF165, {"x","L"}))</f>
        <v>0</v>
      </c>
      <c r="AG5" s="4">
        <f t="array" ref="AG5">SUM(COUNTIFS(AG48:AG165, {"x","L"}))</f>
        <v>0</v>
      </c>
      <c r="AH5" s="4">
        <f t="array" ref="AH5">SUM(COUNTIFS(AH48:AH165, {"x","L"}))</f>
        <v>0</v>
      </c>
      <c r="AI5" s="4">
        <f t="array" ref="AI5">SUM(COUNTIFS(AI48:AI165, {"x","L"}))</f>
        <v>0</v>
      </c>
      <c r="AJ5" s="4">
        <f t="array" ref="AJ5">SUM(COUNTIFS(AJ48:AJ165, {"x","L"}))</f>
        <v>0</v>
      </c>
      <c r="AK5" s="4">
        <f t="array" ref="AK5">SUM(COUNTIFS(AK48:AK165, {"x","L"}))</f>
        <v>0</v>
      </c>
      <c r="AL5" s="4">
        <f t="array" ref="AL5">SUM(COUNTIFS(AL48:AL165, {"x","L"}))</f>
        <v>0</v>
      </c>
      <c r="AM5" s="4">
        <f t="array" ref="AM5">SUM(COUNTIFS(AM48:AM165, {"x","L"}))</f>
        <v>0</v>
      </c>
      <c r="AN5" s="4">
        <f t="array" ref="AN5">SUM(COUNTIFS(AN48:AN165, {"x","L"}))</f>
        <v>0</v>
      </c>
      <c r="AO5" s="4">
        <f t="array" ref="AO5">SUM(COUNTIFS(AO48:AO165, {"x","L"}))</f>
        <v>0</v>
      </c>
      <c r="AP5" s="4">
        <f t="array" ref="AP5">SUM(COUNTIFS(AP48:AP165, {"x","L"}))</f>
        <v>0</v>
      </c>
      <c r="AQ5" s="4">
        <f t="array" ref="AQ5">SUM(COUNTIFS(AQ48:AQ165, {"x","L"}))</f>
        <v>0</v>
      </c>
      <c r="AR5" s="4">
        <f t="array" ref="AR5">SUM(COUNTIFS(AR48:AR165, {"x","L"}))</f>
        <v>0</v>
      </c>
      <c r="AS5" s="4">
        <f t="array" ref="AS5">SUM(COUNTIFS(AS48:AS165, {"x","L"}))</f>
        <v>0</v>
      </c>
      <c r="AT5" s="4">
        <f t="array" ref="AT5">SUM(COUNTIFS(AT48:AT165, {"x","L"}))</f>
        <v>0</v>
      </c>
      <c r="AU5" s="4">
        <f t="array" ref="AU5">SUM(COUNTIFS(AU48:AU165, {"x","L"}))</f>
        <v>0</v>
      </c>
      <c r="AV5" s="4">
        <f t="array" ref="AV5">SUM(COUNTIFS(AV48:AV165, {"x","L"}))</f>
        <v>0</v>
      </c>
      <c r="AW5" s="4">
        <f t="array" ref="AW5">SUM(COUNTIFS(AW48:AW165, {"x","L"}))</f>
        <v>0</v>
      </c>
      <c r="AX5" s="4">
        <f t="array" ref="AX5">SUM(COUNTIFS(AX48:AX165, {"x","L"}))</f>
        <v>0</v>
      </c>
      <c r="AY5" s="4">
        <f t="array" ref="AY5">SUM(COUNTIFS(AY48:AY165, {"x","L"}))</f>
        <v>0</v>
      </c>
      <c r="AZ5" s="4">
        <f t="array" ref="AZ5">SUM(COUNTIFS(AZ48:AZ165, {"x","L"}))</f>
        <v>0</v>
      </c>
      <c r="BA5" s="5"/>
      <c r="BB5" s="94" t="s">
        <v>396</v>
      </c>
    </row>
    <row r="6" spans="1:54" ht="15.75" outlineLevel="1" x14ac:dyDescent="0.25">
      <c r="A6" s="56"/>
      <c r="B6" s="90" t="s">
        <v>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53"/>
      <c r="BB6" s="54" t="s">
        <v>338</v>
      </c>
    </row>
    <row r="7" spans="1:54" x14ac:dyDescent="0.25">
      <c r="A7" s="74" t="s">
        <v>9</v>
      </c>
      <c r="B7" s="9" t="s">
        <v>10</v>
      </c>
      <c r="BA7" s="55" t="s">
        <v>31</v>
      </c>
      <c r="BB7" s="56" t="s">
        <v>387</v>
      </c>
    </row>
    <row r="8" spans="1:54" x14ac:dyDescent="0.25">
      <c r="A8" s="3" t="s">
        <v>12</v>
      </c>
      <c r="B8" s="10" t="s">
        <v>13</v>
      </c>
      <c r="AP8" s="4"/>
      <c r="BA8" s="55" t="s">
        <v>11</v>
      </c>
      <c r="BB8" s="56" t="s">
        <v>339</v>
      </c>
    </row>
    <row r="9" spans="1:54" x14ac:dyDescent="0.25">
      <c r="A9" s="3" t="s">
        <v>14</v>
      </c>
      <c r="B9" s="10" t="s">
        <v>15</v>
      </c>
      <c r="AA9" s="4"/>
      <c r="AB9" s="22"/>
      <c r="BA9" s="49"/>
      <c r="BB9" s="48" t="s">
        <v>340</v>
      </c>
    </row>
    <row r="10" spans="1:54" x14ac:dyDescent="0.25">
      <c r="A10" s="3" t="s">
        <v>16</v>
      </c>
      <c r="B10" s="11" t="s">
        <v>17</v>
      </c>
      <c r="AD10" s="4"/>
      <c r="AH10" s="4"/>
      <c r="BA10" s="50" t="s">
        <v>11</v>
      </c>
      <c r="BB10" s="47"/>
    </row>
    <row r="11" spans="1:54" x14ac:dyDescent="0.25">
      <c r="A11" s="3" t="s">
        <v>18</v>
      </c>
      <c r="B11" s="10" t="s">
        <v>19</v>
      </c>
      <c r="M11" s="22"/>
      <c r="V11" s="22"/>
      <c r="BA11" s="50" t="s">
        <v>31</v>
      </c>
      <c r="BB11" s="47" t="s">
        <v>341</v>
      </c>
    </row>
    <row r="12" spans="1:54" x14ac:dyDescent="0.25">
      <c r="A12" s="3" t="s">
        <v>21</v>
      </c>
      <c r="B12" s="10" t="s">
        <v>22</v>
      </c>
      <c r="J12" s="4"/>
      <c r="S12" s="4"/>
      <c r="BA12" s="51"/>
      <c r="BB12" s="47"/>
    </row>
    <row r="13" spans="1:54" x14ac:dyDescent="0.25">
      <c r="A13" s="3" t="s">
        <v>23</v>
      </c>
      <c r="B13" s="10" t="s">
        <v>24</v>
      </c>
      <c r="M13" s="4"/>
      <c r="V13" s="4"/>
      <c r="AG13" s="22"/>
      <c r="BA13" s="50" t="s">
        <v>11</v>
      </c>
      <c r="BB13" s="47" t="s">
        <v>342</v>
      </c>
    </row>
    <row r="14" spans="1:54" x14ac:dyDescent="0.25">
      <c r="A14" s="3" t="s">
        <v>25</v>
      </c>
      <c r="B14" s="10" t="s">
        <v>26</v>
      </c>
      <c r="N14" s="4"/>
      <c r="W14" s="4"/>
      <c r="AA14" s="4"/>
      <c r="BA14" s="50" t="s">
        <v>11</v>
      </c>
      <c r="BB14" s="47" t="s">
        <v>343</v>
      </c>
    </row>
    <row r="15" spans="1:54" x14ac:dyDescent="0.25">
      <c r="A15" s="3" t="s">
        <v>27</v>
      </c>
      <c r="B15" s="10" t="s">
        <v>28</v>
      </c>
      <c r="N15" s="4"/>
      <c r="W15" s="4"/>
      <c r="AX15" s="22"/>
      <c r="BA15" s="50" t="s">
        <v>20</v>
      </c>
      <c r="BB15" s="48"/>
    </row>
    <row r="16" spans="1:54" x14ac:dyDescent="0.25">
      <c r="A16" s="3" t="s">
        <v>29</v>
      </c>
      <c r="B16" s="10" t="s">
        <v>30</v>
      </c>
      <c r="I16" s="22"/>
      <c r="M16" s="4"/>
      <c r="R16" s="22"/>
      <c r="V16" s="4"/>
      <c r="BA16" s="50" t="s">
        <v>31</v>
      </c>
      <c r="BB16" s="47" t="s">
        <v>344</v>
      </c>
    </row>
    <row r="17" spans="1:54" x14ac:dyDescent="0.25">
      <c r="A17" s="3" t="s">
        <v>32</v>
      </c>
      <c r="B17" s="10" t="s">
        <v>33</v>
      </c>
      <c r="BA17" s="50" t="s">
        <v>36</v>
      </c>
      <c r="BB17" s="47"/>
    </row>
    <row r="18" spans="1:54" x14ac:dyDescent="0.25">
      <c r="A18" s="71" t="s">
        <v>383</v>
      </c>
      <c r="B18" s="72" t="s">
        <v>384</v>
      </c>
      <c r="BA18" s="73" t="s">
        <v>385</v>
      </c>
      <c r="BB18" s="47"/>
    </row>
    <row r="19" spans="1:54" x14ac:dyDescent="0.25">
      <c r="A19" s="3" t="s">
        <v>34</v>
      </c>
      <c r="B19" s="10" t="s">
        <v>35</v>
      </c>
      <c r="C19" s="94"/>
      <c r="X19" s="22"/>
      <c r="Y19" s="4"/>
      <c r="Z19" s="22"/>
      <c r="BA19" s="50" t="s">
        <v>36</v>
      </c>
      <c r="BB19" s="47" t="s">
        <v>360</v>
      </c>
    </row>
    <row r="20" spans="1:54" x14ac:dyDescent="0.25">
      <c r="A20" s="3" t="s">
        <v>37</v>
      </c>
      <c r="B20" s="10" t="s">
        <v>38</v>
      </c>
      <c r="AH20" s="4"/>
      <c r="AI20" s="4"/>
      <c r="BA20" s="50"/>
      <c r="BB20" s="47" t="s">
        <v>345</v>
      </c>
    </row>
    <row r="21" spans="1:54" x14ac:dyDescent="0.25">
      <c r="A21" s="3" t="s">
        <v>39</v>
      </c>
      <c r="B21" s="10" t="s">
        <v>321</v>
      </c>
      <c r="AA21" s="4"/>
      <c r="AB21" s="22"/>
      <c r="BA21" s="50" t="s">
        <v>322</v>
      </c>
      <c r="BB21" s="47" t="s">
        <v>346</v>
      </c>
    </row>
    <row r="22" spans="1:54" ht="15.75" customHeight="1" x14ac:dyDescent="0.25">
      <c r="A22" s="3" t="s">
        <v>40</v>
      </c>
      <c r="B22" s="10" t="s">
        <v>41</v>
      </c>
      <c r="L22" s="4"/>
      <c r="U22" s="4"/>
      <c r="AF22" s="4"/>
      <c r="AG22" s="4"/>
      <c r="BA22" s="50" t="s">
        <v>11</v>
      </c>
      <c r="BB22" s="47"/>
    </row>
    <row r="23" spans="1:54" ht="15.75" customHeight="1" x14ac:dyDescent="0.25">
      <c r="A23" s="3" t="s">
        <v>42</v>
      </c>
      <c r="B23" s="10" t="s">
        <v>43</v>
      </c>
      <c r="X23" s="22"/>
      <c r="AL23" s="4"/>
      <c r="AQ23" s="4"/>
      <c r="BA23" s="50"/>
      <c r="BB23" s="47"/>
    </row>
    <row r="24" spans="1:54" ht="15.75" customHeight="1" x14ac:dyDescent="0.25">
      <c r="A24" s="3" t="s">
        <v>44</v>
      </c>
      <c r="B24" s="10" t="s">
        <v>45</v>
      </c>
      <c r="D24" s="94"/>
      <c r="H24" s="4"/>
      <c r="M24" s="22"/>
      <c r="Q24" s="4"/>
      <c r="V24" s="22"/>
      <c r="AA24" s="22"/>
      <c r="BA24" s="50" t="s">
        <v>36</v>
      </c>
      <c r="BB24" s="47"/>
    </row>
    <row r="25" spans="1:54" ht="15.75" customHeight="1" x14ac:dyDescent="0.25">
      <c r="A25" s="3" t="s">
        <v>46</v>
      </c>
      <c r="B25" s="10" t="s">
        <v>47</v>
      </c>
      <c r="AH25" s="4"/>
      <c r="AN25" s="4"/>
      <c r="BA25" s="50" t="s">
        <v>20</v>
      </c>
      <c r="BB25" s="47"/>
    </row>
    <row r="26" spans="1:54" ht="15.75" customHeight="1" x14ac:dyDescent="0.25">
      <c r="A26" s="3" t="s">
        <v>48</v>
      </c>
      <c r="B26" s="10" t="s">
        <v>49</v>
      </c>
      <c r="AA26" s="4"/>
      <c r="AD26" s="4"/>
      <c r="AS26" s="22"/>
      <c r="BA26" s="50"/>
      <c r="BB26" s="47" t="s">
        <v>368</v>
      </c>
    </row>
    <row r="27" spans="1:54" ht="15.75" customHeight="1" x14ac:dyDescent="0.25">
      <c r="A27" s="3" t="s">
        <v>50</v>
      </c>
      <c r="B27" s="10" t="s">
        <v>51</v>
      </c>
      <c r="AD27" s="4"/>
      <c r="BA27" s="50" t="s">
        <v>11</v>
      </c>
      <c r="BB27" s="47"/>
    </row>
    <row r="28" spans="1:54" ht="15.75" customHeight="1" x14ac:dyDescent="0.25">
      <c r="A28" s="3" t="s">
        <v>52</v>
      </c>
      <c r="B28" s="11" t="s">
        <v>53</v>
      </c>
      <c r="AJ28" s="4"/>
      <c r="AK28" s="4"/>
      <c r="AO28" s="4"/>
      <c r="BA28" s="50" t="s">
        <v>20</v>
      </c>
      <c r="BB28" s="47"/>
    </row>
    <row r="29" spans="1:54" ht="15.75" customHeight="1" x14ac:dyDescent="0.25">
      <c r="A29" s="3" t="s">
        <v>54</v>
      </c>
      <c r="B29" s="10" t="s">
        <v>55</v>
      </c>
      <c r="AA29" s="4"/>
      <c r="AC29" s="4"/>
      <c r="BA29" s="50" t="s">
        <v>31</v>
      </c>
      <c r="BB29" s="47" t="s">
        <v>347</v>
      </c>
    </row>
    <row r="30" spans="1:54" ht="15.75" customHeight="1" x14ac:dyDescent="0.25">
      <c r="A30" s="3" t="s">
        <v>56</v>
      </c>
      <c r="B30" s="72" t="s">
        <v>398</v>
      </c>
      <c r="C30" s="94"/>
      <c r="E30" s="94"/>
      <c r="I30" s="4"/>
      <c r="N30" s="4"/>
      <c r="R30" s="4"/>
      <c r="W30" s="4"/>
      <c r="BA30" s="50"/>
      <c r="BB30" s="47"/>
    </row>
    <row r="31" spans="1:54" ht="15.75" customHeight="1" x14ac:dyDescent="0.25">
      <c r="A31" s="3" t="s">
        <v>57</v>
      </c>
      <c r="B31" s="10" t="s">
        <v>58</v>
      </c>
      <c r="G31" s="22"/>
      <c r="P31" s="22"/>
      <c r="BA31" s="50"/>
      <c r="BB31" s="47"/>
    </row>
    <row r="32" spans="1:54" ht="15.75" customHeight="1" x14ac:dyDescent="0.25">
      <c r="A32" s="3" t="s">
        <v>59</v>
      </c>
      <c r="B32" s="10" t="s">
        <v>60</v>
      </c>
      <c r="Z32" s="22"/>
      <c r="AB32" s="22"/>
      <c r="BA32" s="50" t="s">
        <v>31</v>
      </c>
      <c r="BB32" s="47"/>
    </row>
    <row r="33" spans="1:54" ht="15.75" customHeight="1" x14ac:dyDescent="0.25">
      <c r="A33" s="3" t="s">
        <v>61</v>
      </c>
      <c r="B33" s="10" t="s">
        <v>62</v>
      </c>
      <c r="C33" s="94"/>
      <c r="AD33" s="4"/>
      <c r="AE33" s="4"/>
      <c r="BA33" s="50" t="s">
        <v>31</v>
      </c>
      <c r="BB33" s="47"/>
    </row>
    <row r="34" spans="1:54" ht="15.75" customHeight="1" x14ac:dyDescent="0.25">
      <c r="A34" s="3" t="s">
        <v>63</v>
      </c>
      <c r="B34" s="10" t="s">
        <v>64</v>
      </c>
      <c r="BA34" s="50" t="s">
        <v>4</v>
      </c>
      <c r="BB34" s="47"/>
    </row>
    <row r="35" spans="1:54" ht="15.75" customHeight="1" x14ac:dyDescent="0.25">
      <c r="A35" s="3" t="s">
        <v>65</v>
      </c>
      <c r="B35" s="10" t="s">
        <v>66</v>
      </c>
      <c r="G35" s="22"/>
      <c r="I35" s="22"/>
      <c r="P35" s="22"/>
      <c r="R35" s="22"/>
      <c r="BA35" s="50" t="s">
        <v>67</v>
      </c>
      <c r="BB35" s="47"/>
    </row>
    <row r="36" spans="1:54" ht="15.75" customHeight="1" x14ac:dyDescent="0.25">
      <c r="A36" s="3" t="s">
        <v>68</v>
      </c>
      <c r="B36" s="10" t="s">
        <v>69</v>
      </c>
      <c r="J36" s="94"/>
      <c r="Y36" s="4"/>
      <c r="BA36" s="50" t="s">
        <v>349</v>
      </c>
      <c r="BB36" s="47"/>
    </row>
    <row r="37" spans="1:54" ht="15.75" customHeight="1" x14ac:dyDescent="0.25">
      <c r="A37" s="3" t="s">
        <v>70</v>
      </c>
      <c r="B37" s="10" t="s">
        <v>71</v>
      </c>
      <c r="AP37" s="4"/>
      <c r="BA37" s="51" t="s">
        <v>20</v>
      </c>
      <c r="BB37" s="47"/>
    </row>
    <row r="38" spans="1:54" ht="15.75" customHeight="1" x14ac:dyDescent="0.25">
      <c r="A38" s="3" t="s">
        <v>72</v>
      </c>
      <c r="B38" s="10" t="s">
        <v>73</v>
      </c>
      <c r="L38" s="4"/>
      <c r="U38" s="4"/>
      <c r="BA38" s="51" t="s">
        <v>31</v>
      </c>
      <c r="BB38" s="47"/>
    </row>
    <row r="39" spans="1:54" ht="15.75" customHeight="1" x14ac:dyDescent="0.25">
      <c r="A39" s="12" t="s">
        <v>74</v>
      </c>
      <c r="B39" s="69" t="s">
        <v>75</v>
      </c>
      <c r="C39" s="29"/>
      <c r="D39" s="29"/>
      <c r="E39" s="29"/>
      <c r="F39" s="29"/>
      <c r="G39" s="29"/>
      <c r="H39" s="28"/>
      <c r="I39" s="29"/>
      <c r="J39" s="29"/>
      <c r="K39" s="29"/>
      <c r="L39" s="28"/>
      <c r="M39" s="29"/>
      <c r="N39" s="29"/>
      <c r="O39" s="29"/>
      <c r="P39" s="29"/>
      <c r="Q39" s="28"/>
      <c r="R39" s="29"/>
      <c r="S39" s="29"/>
      <c r="T39" s="29"/>
      <c r="U39" s="28"/>
      <c r="V39" s="29"/>
      <c r="W39" s="29"/>
      <c r="X39" s="29"/>
      <c r="Y39" s="29"/>
      <c r="Z39" s="29"/>
      <c r="AA39" s="28"/>
      <c r="AB39" s="29"/>
      <c r="AC39" s="29"/>
      <c r="AD39" s="29"/>
      <c r="AE39" s="29"/>
      <c r="AF39" s="29"/>
      <c r="AG39" s="29"/>
      <c r="AH39" s="28"/>
      <c r="AI39" s="28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52"/>
      <c r="BB39" s="54"/>
    </row>
    <row r="40" spans="1:54" ht="15.75" customHeight="1" thickBot="1" x14ac:dyDescent="0.3">
      <c r="A40" s="120" t="s">
        <v>403</v>
      </c>
      <c r="B40" s="121" t="s">
        <v>362</v>
      </c>
      <c r="C40" s="29"/>
      <c r="D40" s="29"/>
      <c r="E40" s="29"/>
      <c r="F40" s="29"/>
      <c r="G40" s="29"/>
      <c r="H40" s="28"/>
      <c r="I40" s="29"/>
      <c r="J40" s="29"/>
      <c r="K40" s="29"/>
      <c r="L40" s="28"/>
      <c r="M40" s="29"/>
      <c r="N40" s="29"/>
      <c r="O40" s="29"/>
      <c r="P40" s="29"/>
      <c r="Q40" s="28"/>
      <c r="R40" s="29"/>
      <c r="S40" s="29"/>
      <c r="T40" s="29"/>
      <c r="U40" s="28"/>
      <c r="V40" s="29"/>
      <c r="W40" s="29"/>
      <c r="X40" s="29"/>
      <c r="Y40" s="29"/>
      <c r="Z40" s="29"/>
      <c r="AA40" s="28"/>
      <c r="AB40" s="29"/>
      <c r="AC40" s="29"/>
      <c r="AD40" s="29"/>
      <c r="AE40" s="29"/>
      <c r="AF40" s="29"/>
      <c r="AG40" s="29"/>
      <c r="AH40" s="28"/>
      <c r="AI40" s="28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62"/>
      <c r="BB40" s="103" t="s">
        <v>404</v>
      </c>
    </row>
    <row r="41" spans="1:54" ht="15.75" customHeight="1" x14ac:dyDescent="0.25">
      <c r="A41" s="56"/>
      <c r="B41" s="98" t="s">
        <v>390</v>
      </c>
      <c r="C41" s="41"/>
      <c r="D41" s="41"/>
      <c r="E41" s="41"/>
      <c r="F41" s="41"/>
      <c r="G41" s="41"/>
      <c r="H41" s="41"/>
      <c r="I41" s="41"/>
      <c r="J41" s="41"/>
      <c r="K41" s="41"/>
      <c r="L41" s="95"/>
      <c r="M41" s="41"/>
      <c r="N41" s="41"/>
      <c r="O41" s="41"/>
      <c r="P41" s="41"/>
      <c r="Q41" s="41"/>
      <c r="R41" s="41"/>
      <c r="S41" s="41"/>
      <c r="T41" s="41"/>
      <c r="U41" s="95"/>
      <c r="V41" s="41"/>
      <c r="W41" s="41"/>
      <c r="X41" s="41"/>
      <c r="Y41" s="41"/>
      <c r="Z41" s="95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87"/>
      <c r="BB41" s="87"/>
    </row>
    <row r="42" spans="1:54" ht="15.75" customHeight="1" x14ac:dyDescent="0.25">
      <c r="A42" s="88" t="s">
        <v>157</v>
      </c>
      <c r="B42" s="93" t="s">
        <v>158</v>
      </c>
      <c r="D42" s="29"/>
      <c r="E42" s="29"/>
      <c r="F42" s="109"/>
      <c r="G42" s="29"/>
      <c r="H42" s="29"/>
      <c r="I42" s="29"/>
      <c r="J42" s="29"/>
      <c r="K42" s="29"/>
      <c r="L42" s="28"/>
      <c r="M42" s="29"/>
      <c r="N42" s="29"/>
      <c r="O42" s="29"/>
      <c r="P42" s="29"/>
      <c r="Q42" s="29"/>
      <c r="R42" s="29"/>
      <c r="S42" s="29"/>
      <c r="T42" s="29"/>
      <c r="U42" s="28"/>
      <c r="V42" s="29"/>
      <c r="W42" s="29"/>
      <c r="X42" s="29"/>
      <c r="Y42" s="29"/>
      <c r="Z42" s="28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9" t="s">
        <v>159</v>
      </c>
      <c r="BB42" s="8" t="s">
        <v>372</v>
      </c>
    </row>
    <row r="43" spans="1:54" ht="15.75" customHeight="1" x14ac:dyDescent="0.25">
      <c r="A43" s="88" t="s">
        <v>220</v>
      </c>
      <c r="B43" s="93" t="s">
        <v>391</v>
      </c>
      <c r="C43" s="29"/>
      <c r="D43" s="29"/>
      <c r="E43" s="29"/>
      <c r="F43" s="29"/>
      <c r="G43" s="109"/>
      <c r="H43" s="29"/>
      <c r="I43" s="29"/>
      <c r="J43" s="29"/>
      <c r="K43" s="29"/>
      <c r="L43" s="28"/>
      <c r="M43" s="29"/>
      <c r="N43" s="29"/>
      <c r="O43" s="29"/>
      <c r="P43" s="29"/>
      <c r="Q43" s="29"/>
      <c r="R43" s="29"/>
      <c r="S43" s="29"/>
      <c r="T43" s="29"/>
      <c r="U43" s="28"/>
      <c r="V43" s="29"/>
      <c r="W43" s="29"/>
      <c r="X43" s="29"/>
      <c r="Y43" s="29"/>
      <c r="Z43" s="28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10" t="s">
        <v>222</v>
      </c>
      <c r="BB43" s="3" t="s">
        <v>376</v>
      </c>
    </row>
    <row r="44" spans="1:54" ht="15.75" customHeight="1" x14ac:dyDescent="0.25">
      <c r="A44" s="89" t="s">
        <v>181</v>
      </c>
      <c r="B44" s="93" t="s">
        <v>62</v>
      </c>
      <c r="C44" s="29" t="str">
        <f>IF(C33="L","L", "")</f>
        <v/>
      </c>
      <c r="D44" s="29" t="str">
        <f t="shared" ref="D44:AP44" si="0">IF(D33="L","L", "")</f>
        <v/>
      </c>
      <c r="E44" s="29" t="str">
        <f t="shared" si="0"/>
        <v/>
      </c>
      <c r="F44" s="29" t="str">
        <f t="shared" si="0"/>
        <v/>
      </c>
      <c r="G44" s="29" t="str">
        <f t="shared" si="0"/>
        <v/>
      </c>
      <c r="H44" s="29" t="str">
        <f t="shared" si="0"/>
        <v/>
      </c>
      <c r="I44" s="29" t="str">
        <f t="shared" si="0"/>
        <v/>
      </c>
      <c r="J44" s="29" t="str">
        <f t="shared" si="0"/>
        <v/>
      </c>
      <c r="K44" s="29" t="str">
        <f t="shared" si="0"/>
        <v/>
      </c>
      <c r="L44" s="29" t="str">
        <f t="shared" si="0"/>
        <v/>
      </c>
      <c r="M44" s="29" t="str">
        <f t="shared" si="0"/>
        <v/>
      </c>
      <c r="N44" s="29" t="str">
        <f t="shared" si="0"/>
        <v/>
      </c>
      <c r="O44" s="29" t="str">
        <f t="shared" si="0"/>
        <v/>
      </c>
      <c r="P44" s="29" t="str">
        <f t="shared" si="0"/>
        <v/>
      </c>
      <c r="Q44" s="29" t="str">
        <f t="shared" si="0"/>
        <v/>
      </c>
      <c r="R44" s="29" t="str">
        <f t="shared" si="0"/>
        <v/>
      </c>
      <c r="S44" s="29" t="str">
        <f t="shared" si="0"/>
        <v/>
      </c>
      <c r="T44" s="29" t="str">
        <f t="shared" si="0"/>
        <v/>
      </c>
      <c r="U44" s="29" t="str">
        <f t="shared" si="0"/>
        <v/>
      </c>
      <c r="V44" s="29" t="str">
        <f t="shared" si="0"/>
        <v/>
      </c>
      <c r="W44" s="29" t="str">
        <f t="shared" si="0"/>
        <v/>
      </c>
      <c r="X44" s="29" t="str">
        <f t="shared" si="0"/>
        <v/>
      </c>
      <c r="Y44" s="29" t="str">
        <f t="shared" si="0"/>
        <v/>
      </c>
      <c r="Z44" s="29" t="str">
        <f t="shared" si="0"/>
        <v/>
      </c>
      <c r="AA44" s="29" t="str">
        <f t="shared" si="0"/>
        <v/>
      </c>
      <c r="AB44" s="29" t="str">
        <f t="shared" si="0"/>
        <v/>
      </c>
      <c r="AC44" s="29" t="str">
        <f t="shared" si="0"/>
        <v/>
      </c>
      <c r="AD44" s="29" t="str">
        <f t="shared" si="0"/>
        <v/>
      </c>
      <c r="AE44" s="29" t="str">
        <f t="shared" si="0"/>
        <v/>
      </c>
      <c r="AF44" s="29" t="str">
        <f t="shared" si="0"/>
        <v/>
      </c>
      <c r="AG44" s="29" t="str">
        <f t="shared" si="0"/>
        <v/>
      </c>
      <c r="AH44" s="29" t="str">
        <f t="shared" si="0"/>
        <v/>
      </c>
      <c r="AI44" s="29" t="str">
        <f t="shared" si="0"/>
        <v/>
      </c>
      <c r="AJ44" s="29" t="str">
        <f t="shared" si="0"/>
        <v/>
      </c>
      <c r="AK44" s="29" t="str">
        <f t="shared" si="0"/>
        <v/>
      </c>
      <c r="AL44" s="29" t="str">
        <f t="shared" si="0"/>
        <v/>
      </c>
      <c r="AM44" s="29" t="str">
        <f t="shared" si="0"/>
        <v/>
      </c>
      <c r="AN44" s="29" t="str">
        <f t="shared" si="0"/>
        <v/>
      </c>
      <c r="AO44" s="29" t="str">
        <f t="shared" si="0"/>
        <v/>
      </c>
      <c r="AP44" s="29" t="str">
        <f t="shared" si="0"/>
        <v/>
      </c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55" t="s">
        <v>369</v>
      </c>
      <c r="BB44" s="103" t="s">
        <v>393</v>
      </c>
    </row>
    <row r="45" spans="1:54" ht="15.75" customHeight="1" thickBot="1" x14ac:dyDescent="0.3">
      <c r="A45" s="88" t="s">
        <v>166</v>
      </c>
      <c r="B45" s="99" t="s">
        <v>104</v>
      </c>
      <c r="C45" s="109"/>
      <c r="D45" s="29" t="str">
        <f t="shared" ref="D45:Z45" si="1">IF(D30="L","L", "")</f>
        <v/>
      </c>
      <c r="E45" s="29" t="str">
        <f t="shared" si="1"/>
        <v/>
      </c>
      <c r="F45" s="29" t="str">
        <f t="shared" si="1"/>
        <v/>
      </c>
      <c r="G45" s="29" t="str">
        <f t="shared" si="1"/>
        <v/>
      </c>
      <c r="H45" s="29" t="str">
        <f t="shared" si="1"/>
        <v/>
      </c>
      <c r="I45" s="109" t="str">
        <f t="shared" si="1"/>
        <v/>
      </c>
      <c r="J45" s="29" t="str">
        <f t="shared" si="1"/>
        <v/>
      </c>
      <c r="K45" s="29" t="str">
        <f t="shared" si="1"/>
        <v/>
      </c>
      <c r="L45" s="29" t="str">
        <f t="shared" si="1"/>
        <v/>
      </c>
      <c r="M45" s="29" t="str">
        <f t="shared" si="1"/>
        <v/>
      </c>
      <c r="N45" s="29" t="str">
        <f t="shared" si="1"/>
        <v/>
      </c>
      <c r="O45" s="29" t="str">
        <f t="shared" si="1"/>
        <v/>
      </c>
      <c r="P45" s="29" t="str">
        <f t="shared" si="1"/>
        <v/>
      </c>
      <c r="Q45" s="29" t="str">
        <f t="shared" si="1"/>
        <v/>
      </c>
      <c r="R45" s="29" t="str">
        <f t="shared" si="1"/>
        <v/>
      </c>
      <c r="S45" s="29" t="str">
        <f t="shared" si="1"/>
        <v/>
      </c>
      <c r="T45" s="29" t="str">
        <f t="shared" si="1"/>
        <v/>
      </c>
      <c r="U45" s="29" t="str">
        <f t="shared" si="1"/>
        <v/>
      </c>
      <c r="V45" s="29" t="str">
        <f t="shared" si="1"/>
        <v/>
      </c>
      <c r="W45" s="29" t="str">
        <f t="shared" si="1"/>
        <v/>
      </c>
      <c r="X45" s="29" t="str">
        <f t="shared" si="1"/>
        <v/>
      </c>
      <c r="Y45" s="29" t="str">
        <f t="shared" si="1"/>
        <v/>
      </c>
      <c r="Z45" s="29" t="str">
        <f t="shared" si="1"/>
        <v/>
      </c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10"/>
      <c r="BB45" s="71" t="s">
        <v>397</v>
      </c>
    </row>
    <row r="46" spans="1:54" ht="15.75" customHeight="1" x14ac:dyDescent="0.25">
      <c r="A46" s="56"/>
      <c r="B46" s="101" t="s">
        <v>392</v>
      </c>
      <c r="C46" s="41"/>
      <c r="D46" s="41"/>
      <c r="E46" s="41"/>
      <c r="F46" s="41"/>
      <c r="G46" s="41"/>
      <c r="H46" s="41"/>
      <c r="I46" s="41"/>
      <c r="J46" s="41"/>
      <c r="K46" s="41"/>
      <c r="L46" s="95"/>
      <c r="M46" s="41"/>
      <c r="N46" s="41"/>
      <c r="O46" s="41"/>
      <c r="P46" s="41"/>
      <c r="Q46" s="41"/>
      <c r="R46" s="41"/>
      <c r="S46" s="41"/>
      <c r="T46" s="41"/>
      <c r="U46" s="95"/>
      <c r="V46" s="41"/>
      <c r="W46" s="41"/>
      <c r="X46" s="41"/>
      <c r="Y46" s="41"/>
      <c r="Z46" s="95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96"/>
      <c r="BA46" s="102"/>
      <c r="BB46" s="24"/>
    </row>
    <row r="47" spans="1:54" ht="15.75" customHeight="1" x14ac:dyDescent="0.25">
      <c r="A47" s="56" t="s">
        <v>76</v>
      </c>
      <c r="B47" s="75" t="s">
        <v>77</v>
      </c>
      <c r="C47" s="29"/>
      <c r="D47" s="29"/>
      <c r="E47" s="29"/>
      <c r="F47" s="29"/>
      <c r="G47" s="29"/>
      <c r="H47" s="29"/>
      <c r="I47" s="29"/>
      <c r="J47" s="29"/>
      <c r="K47" s="29"/>
      <c r="L47" s="28"/>
      <c r="M47" s="29"/>
      <c r="N47" s="29"/>
      <c r="O47" s="29"/>
      <c r="P47" s="29"/>
      <c r="Q47" s="29"/>
      <c r="R47" s="29"/>
      <c r="S47" s="29"/>
      <c r="T47" s="29"/>
      <c r="U47" s="28"/>
      <c r="V47" s="29"/>
      <c r="W47" s="29"/>
      <c r="X47" s="29"/>
      <c r="Y47" s="29"/>
      <c r="Z47" s="28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97"/>
      <c r="BA47" s="75"/>
      <c r="BB47" s="70" t="s">
        <v>350</v>
      </c>
    </row>
    <row r="48" spans="1:54" ht="15.75" customHeight="1" x14ac:dyDescent="0.25">
      <c r="A48" s="87"/>
      <c r="B48" s="76" t="s">
        <v>35</v>
      </c>
      <c r="C48" s="29" t="str">
        <f>IF(C19="L","L","")</f>
        <v/>
      </c>
      <c r="D48" s="29" t="str">
        <f t="shared" ref="D48:AL48" si="2">IF(D19="L","L","")</f>
        <v/>
      </c>
      <c r="E48" s="29" t="str">
        <f t="shared" si="2"/>
        <v/>
      </c>
      <c r="F48" s="29" t="str">
        <f t="shared" si="2"/>
        <v/>
      </c>
      <c r="G48" s="29" t="str">
        <f t="shared" si="2"/>
        <v/>
      </c>
      <c r="H48" s="29" t="str">
        <f t="shared" si="2"/>
        <v/>
      </c>
      <c r="I48" s="29" t="str">
        <f t="shared" si="2"/>
        <v/>
      </c>
      <c r="J48" s="29" t="str">
        <f t="shared" si="2"/>
        <v/>
      </c>
      <c r="K48" s="29" t="str">
        <f t="shared" si="2"/>
        <v/>
      </c>
      <c r="L48" s="29" t="str">
        <f t="shared" si="2"/>
        <v/>
      </c>
      <c r="M48" s="29" t="str">
        <f t="shared" si="2"/>
        <v/>
      </c>
      <c r="N48" s="29" t="str">
        <f t="shared" si="2"/>
        <v/>
      </c>
      <c r="O48" s="29" t="str">
        <f t="shared" si="2"/>
        <v/>
      </c>
      <c r="P48" s="29" t="str">
        <f t="shared" si="2"/>
        <v/>
      </c>
      <c r="Q48" s="29" t="str">
        <f t="shared" si="2"/>
        <v/>
      </c>
      <c r="R48" s="29" t="str">
        <f t="shared" si="2"/>
        <v/>
      </c>
      <c r="S48" s="29" t="str">
        <f t="shared" si="2"/>
        <v/>
      </c>
      <c r="T48" s="29" t="str">
        <f t="shared" si="2"/>
        <v/>
      </c>
      <c r="U48" s="29" t="str">
        <f t="shared" si="2"/>
        <v/>
      </c>
      <c r="V48" s="29" t="str">
        <f t="shared" si="2"/>
        <v/>
      </c>
      <c r="W48" s="29" t="str">
        <f t="shared" si="2"/>
        <v/>
      </c>
      <c r="X48" s="29" t="str">
        <f t="shared" si="2"/>
        <v/>
      </c>
      <c r="Y48" s="29" t="str">
        <f t="shared" si="2"/>
        <v/>
      </c>
      <c r="Z48" s="29" t="str">
        <f t="shared" si="2"/>
        <v/>
      </c>
      <c r="AA48" s="29" t="str">
        <f t="shared" si="2"/>
        <v/>
      </c>
      <c r="AB48" s="29" t="str">
        <f t="shared" si="2"/>
        <v/>
      </c>
      <c r="AC48" s="29" t="str">
        <f t="shared" si="2"/>
        <v/>
      </c>
      <c r="AD48" s="29" t="str">
        <f t="shared" si="2"/>
        <v/>
      </c>
      <c r="AE48" s="29" t="str">
        <f t="shared" si="2"/>
        <v/>
      </c>
      <c r="AF48" s="29" t="str">
        <f t="shared" si="2"/>
        <v/>
      </c>
      <c r="AG48" s="29" t="str">
        <f t="shared" si="2"/>
        <v/>
      </c>
      <c r="AH48" s="29" t="str">
        <f t="shared" si="2"/>
        <v/>
      </c>
      <c r="AI48" s="29" t="str">
        <f t="shared" si="2"/>
        <v/>
      </c>
      <c r="AJ48" s="29" t="str">
        <f t="shared" si="2"/>
        <v/>
      </c>
      <c r="AK48" s="29" t="str">
        <f t="shared" si="2"/>
        <v/>
      </c>
      <c r="AL48" s="29" t="str">
        <f t="shared" si="2"/>
        <v/>
      </c>
      <c r="AM48" s="29" t="str">
        <f>IF(AM19="","",AM19)</f>
        <v/>
      </c>
      <c r="AN48" s="29" t="str">
        <f>IF(AN19="","",AN19)</f>
        <v/>
      </c>
      <c r="AO48" s="29" t="str">
        <f>IF(AO19="","",AO19)</f>
        <v/>
      </c>
      <c r="AP48" s="29" t="str">
        <f>IF(AP19="","",AP19)</f>
        <v/>
      </c>
      <c r="AQ48" s="24"/>
      <c r="AR48" s="24"/>
      <c r="AS48" s="24"/>
      <c r="AT48" s="24"/>
      <c r="AU48" s="24"/>
      <c r="AV48" s="24"/>
      <c r="AW48" s="24"/>
      <c r="AX48" s="24"/>
      <c r="AY48" s="24"/>
      <c r="AZ48" s="35"/>
      <c r="BA48" s="105"/>
      <c r="BB48" s="8" t="s">
        <v>331</v>
      </c>
    </row>
    <row r="49" spans="1:54" ht="15.75" customHeight="1" x14ac:dyDescent="0.25">
      <c r="A49" s="88" t="s">
        <v>78</v>
      </c>
      <c r="B49" s="17" t="s">
        <v>79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4"/>
      <c r="AH49" s="29"/>
      <c r="AI49" s="29"/>
      <c r="AJ49" s="29"/>
      <c r="AK49" s="29"/>
      <c r="AL49" s="29"/>
      <c r="AM49" s="29"/>
      <c r="AN49" s="29"/>
      <c r="AO49" s="29"/>
      <c r="AP49" s="28"/>
      <c r="AQ49" s="29"/>
      <c r="AR49" s="29"/>
      <c r="AS49" s="29"/>
      <c r="AT49" s="29"/>
      <c r="AU49" s="29"/>
      <c r="AV49" s="29"/>
      <c r="AW49" s="29"/>
      <c r="AX49" s="29"/>
      <c r="AY49" s="29"/>
      <c r="AZ49" s="35"/>
      <c r="BA49" s="17" t="s">
        <v>11</v>
      </c>
      <c r="BB49" s="3"/>
    </row>
    <row r="50" spans="1:54" ht="15.75" customHeight="1" x14ac:dyDescent="0.25">
      <c r="A50" s="88" t="s">
        <v>80</v>
      </c>
      <c r="B50" s="17" t="s">
        <v>81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4"/>
      <c r="AH50" s="29"/>
      <c r="AI50" s="29"/>
      <c r="AJ50" s="36"/>
      <c r="AK50" s="36"/>
      <c r="AL50" s="29"/>
      <c r="AM50" s="29"/>
      <c r="AN50" s="29"/>
      <c r="AO50" s="29"/>
      <c r="AP50" s="28"/>
      <c r="AQ50" s="29"/>
      <c r="AR50" s="29"/>
      <c r="AS50" s="29"/>
      <c r="AT50" s="29"/>
      <c r="AU50" s="29"/>
      <c r="AV50" s="29"/>
      <c r="AW50" s="29"/>
      <c r="AX50" s="29"/>
      <c r="AY50" s="29"/>
      <c r="AZ50" s="35"/>
      <c r="BA50" s="17" t="s">
        <v>82</v>
      </c>
      <c r="BB50" s="3"/>
    </row>
    <row r="51" spans="1:54" ht="15.75" customHeight="1" x14ac:dyDescent="0.25">
      <c r="A51" s="88" t="s">
        <v>83</v>
      </c>
      <c r="B51" s="17" t="s">
        <v>84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35"/>
      <c r="BA51" s="17" t="s">
        <v>85</v>
      </c>
      <c r="BB51" s="3"/>
    </row>
    <row r="52" spans="1:54" ht="15.75" customHeight="1" x14ac:dyDescent="0.25">
      <c r="A52" s="89" t="s">
        <v>86</v>
      </c>
      <c r="B52" s="17" t="s">
        <v>87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8"/>
      <c r="AH52" s="29"/>
      <c r="AI52" s="29"/>
      <c r="AJ52" s="29"/>
      <c r="AK52" s="29"/>
      <c r="AL52" s="29"/>
      <c r="AM52" s="28"/>
      <c r="AN52" s="29"/>
      <c r="AO52" s="29"/>
      <c r="AP52" s="29"/>
      <c r="AQ52" s="28"/>
      <c r="AR52" s="29"/>
      <c r="AS52" s="29"/>
      <c r="AT52" s="29"/>
      <c r="AU52" s="29"/>
      <c r="AV52" s="29"/>
      <c r="AW52" s="29"/>
      <c r="AX52" s="29"/>
      <c r="AY52" s="29"/>
      <c r="AZ52" s="35"/>
      <c r="BA52" s="17" t="s">
        <v>88</v>
      </c>
      <c r="BB52" s="3" t="s">
        <v>361</v>
      </c>
    </row>
    <row r="53" spans="1:54" ht="15.75" customHeight="1" x14ac:dyDescent="0.25">
      <c r="A53" s="88" t="s">
        <v>89</v>
      </c>
      <c r="B53" s="17" t="s">
        <v>90</v>
      </c>
      <c r="C53" s="29"/>
      <c r="D53" s="28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8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35"/>
      <c r="BA53" s="17" t="s">
        <v>82</v>
      </c>
      <c r="BB53" s="3"/>
    </row>
    <row r="54" spans="1:54" ht="15.75" customHeight="1" x14ac:dyDescent="0.25">
      <c r="A54" s="88" t="s">
        <v>91</v>
      </c>
      <c r="B54" s="77" t="s">
        <v>92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8"/>
      <c r="O54" s="29"/>
      <c r="P54" s="29"/>
      <c r="Q54" s="29"/>
      <c r="R54" s="29"/>
      <c r="S54" s="29"/>
      <c r="T54" s="29"/>
      <c r="U54" s="29"/>
      <c r="V54" s="29"/>
      <c r="W54" s="28"/>
      <c r="X54" s="29"/>
      <c r="Y54" s="29"/>
      <c r="Z54" s="24"/>
      <c r="AA54" s="29"/>
      <c r="AB54" s="29"/>
      <c r="AC54" s="29"/>
      <c r="AD54" s="29"/>
      <c r="AE54" s="29"/>
      <c r="AF54" s="29"/>
      <c r="AG54" s="24"/>
      <c r="AH54" s="29"/>
      <c r="AI54" s="29"/>
      <c r="AJ54" s="29"/>
      <c r="AK54" s="29"/>
      <c r="AL54" s="29"/>
      <c r="AM54" s="29"/>
      <c r="AN54" s="29"/>
      <c r="AO54" s="29"/>
      <c r="AP54" s="24"/>
      <c r="AQ54" s="29"/>
      <c r="AR54" s="29"/>
      <c r="AS54" s="29"/>
      <c r="AT54" s="29"/>
      <c r="AU54" s="29"/>
      <c r="AV54" s="29"/>
      <c r="AW54" s="29"/>
      <c r="AX54" s="29"/>
      <c r="AY54" s="29"/>
      <c r="AZ54" s="35"/>
      <c r="BA54" s="17" t="s">
        <v>20</v>
      </c>
      <c r="BB54" s="3"/>
    </row>
    <row r="55" spans="1:54" ht="15.75" customHeight="1" x14ac:dyDescent="0.25">
      <c r="A55" s="88" t="s">
        <v>93</v>
      </c>
      <c r="B55" s="77" t="s">
        <v>94</v>
      </c>
      <c r="C55" s="29"/>
      <c r="D55" s="24"/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4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35"/>
      <c r="BA55" s="17" t="s">
        <v>95</v>
      </c>
      <c r="BB55" s="3"/>
    </row>
    <row r="56" spans="1:54" ht="15.75" customHeight="1" x14ac:dyDescent="0.25">
      <c r="A56" s="88" t="s">
        <v>96</v>
      </c>
      <c r="B56" s="17" t="s">
        <v>97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8"/>
      <c r="AJ56" s="29"/>
      <c r="AK56" s="29"/>
      <c r="AL56" s="29"/>
      <c r="AM56" s="29"/>
      <c r="AN56" s="29"/>
      <c r="AO56" s="24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35"/>
      <c r="BA56" s="17" t="s">
        <v>20</v>
      </c>
      <c r="BB56" s="3"/>
    </row>
    <row r="57" spans="1:54" ht="15.75" customHeight="1" x14ac:dyDescent="0.25">
      <c r="A57" s="88" t="s">
        <v>98</v>
      </c>
      <c r="B57" s="17" t="s">
        <v>99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8"/>
      <c r="AP57" s="29"/>
      <c r="AQ57" s="29"/>
      <c r="AR57" s="29"/>
      <c r="AS57" s="24"/>
      <c r="AT57" s="29"/>
      <c r="AU57" s="29"/>
      <c r="AV57" s="29"/>
      <c r="AW57" s="29"/>
      <c r="AX57" s="29"/>
      <c r="AY57" s="29"/>
      <c r="AZ57" s="35"/>
      <c r="BA57" s="17" t="s">
        <v>20</v>
      </c>
      <c r="BB57" s="3"/>
    </row>
    <row r="58" spans="1:54" ht="15.75" customHeight="1" x14ac:dyDescent="0.25">
      <c r="A58" s="88" t="s">
        <v>100</v>
      </c>
      <c r="B58" s="17" t="s">
        <v>101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4"/>
      <c r="N58" s="29"/>
      <c r="O58" s="29"/>
      <c r="P58" s="29"/>
      <c r="Q58" s="29"/>
      <c r="R58" s="29"/>
      <c r="S58" s="29"/>
      <c r="T58" s="29"/>
      <c r="U58" s="29"/>
      <c r="V58" s="24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4"/>
      <c r="AH58" s="29"/>
      <c r="AI58" s="29"/>
      <c r="AJ58" s="29"/>
      <c r="AK58" s="29"/>
      <c r="AL58" s="29"/>
      <c r="AM58" s="29"/>
      <c r="AN58" s="29"/>
      <c r="AO58" s="24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35"/>
      <c r="BA58" s="17" t="s">
        <v>11</v>
      </c>
      <c r="BB58" s="3" t="s">
        <v>363</v>
      </c>
    </row>
    <row r="59" spans="1:54" ht="15.75" customHeight="1" x14ac:dyDescent="0.25">
      <c r="A59" s="88" t="s">
        <v>102</v>
      </c>
      <c r="B59" s="17" t="s">
        <v>103</v>
      </c>
      <c r="C59" s="29"/>
      <c r="D59" s="29"/>
      <c r="E59" s="29"/>
      <c r="F59" s="29"/>
      <c r="G59" s="29"/>
      <c r="H59" s="29"/>
      <c r="I59" s="24"/>
      <c r="J59" s="29"/>
      <c r="K59" s="29"/>
      <c r="L59" s="29"/>
      <c r="M59" s="29"/>
      <c r="N59" s="29"/>
      <c r="O59" s="29"/>
      <c r="P59" s="29"/>
      <c r="Q59" s="29"/>
      <c r="R59" s="24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35"/>
      <c r="BA59" s="17" t="s">
        <v>104</v>
      </c>
      <c r="BB59" s="3"/>
    </row>
    <row r="60" spans="1:54" ht="15.75" customHeight="1" x14ac:dyDescent="0.25">
      <c r="A60" s="88" t="s">
        <v>105</v>
      </c>
      <c r="B60" s="17" t="s">
        <v>106</v>
      </c>
      <c r="C60" s="29"/>
      <c r="D60" s="29"/>
      <c r="E60" s="29"/>
      <c r="F60" s="29"/>
      <c r="G60" s="29"/>
      <c r="H60" s="29"/>
      <c r="I60" s="29"/>
      <c r="J60" s="29"/>
      <c r="K60" s="28"/>
      <c r="L60" s="29"/>
      <c r="M60" s="29"/>
      <c r="N60" s="29"/>
      <c r="O60" s="29"/>
      <c r="P60" s="29"/>
      <c r="Q60" s="29"/>
      <c r="R60" s="29"/>
      <c r="S60" s="29"/>
      <c r="T60" s="28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8"/>
      <c r="AG60" s="29"/>
      <c r="AH60" s="29"/>
      <c r="AI60" s="29"/>
      <c r="AJ60" s="29"/>
      <c r="AK60" s="29"/>
      <c r="AL60" s="29"/>
      <c r="AM60" s="29"/>
      <c r="AN60" s="29"/>
      <c r="AO60" s="24"/>
      <c r="AP60" s="29"/>
      <c r="AQ60" s="29"/>
      <c r="AR60" s="29"/>
      <c r="AS60" s="29"/>
      <c r="AT60" s="29"/>
      <c r="AU60" s="29"/>
      <c r="AV60" s="29"/>
      <c r="AW60" s="28"/>
      <c r="AX60" s="29"/>
      <c r="AY60" s="29"/>
      <c r="AZ60" s="35"/>
      <c r="BA60" s="17" t="s">
        <v>107</v>
      </c>
      <c r="BB60" s="3"/>
    </row>
    <row r="61" spans="1:54" ht="15.75" customHeight="1" x14ac:dyDescent="0.25">
      <c r="A61" s="88" t="s">
        <v>108</v>
      </c>
      <c r="B61" s="17" t="s">
        <v>109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8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8"/>
      <c r="AS61" s="28"/>
      <c r="AT61" s="28"/>
      <c r="AU61" s="28"/>
      <c r="AV61" s="28"/>
      <c r="AW61" s="29"/>
      <c r="AX61" s="28"/>
      <c r="AY61" s="28"/>
      <c r="AZ61" s="35"/>
      <c r="BA61" s="17" t="s">
        <v>110</v>
      </c>
      <c r="BB61" s="3" t="s">
        <v>351</v>
      </c>
    </row>
    <row r="62" spans="1:54" ht="15.75" customHeight="1" x14ac:dyDescent="0.25">
      <c r="A62" s="88" t="s">
        <v>111</v>
      </c>
      <c r="B62" s="17" t="s">
        <v>112</v>
      </c>
      <c r="C62" s="29"/>
      <c r="D62" s="29"/>
      <c r="E62" s="29"/>
      <c r="F62" s="29"/>
      <c r="G62" s="29"/>
      <c r="H62" s="29"/>
      <c r="I62" s="29"/>
      <c r="J62" s="28"/>
      <c r="K62" s="29"/>
      <c r="L62" s="29"/>
      <c r="M62" s="29"/>
      <c r="N62" s="29"/>
      <c r="O62" s="29"/>
      <c r="P62" s="29"/>
      <c r="Q62" s="29"/>
      <c r="R62" s="29"/>
      <c r="S62" s="28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35"/>
      <c r="BA62" s="17" t="s">
        <v>353</v>
      </c>
      <c r="BB62" s="3" t="s">
        <v>352</v>
      </c>
    </row>
    <row r="63" spans="1:54" ht="15.75" customHeight="1" x14ac:dyDescent="0.25">
      <c r="A63" s="88" t="s">
        <v>113</v>
      </c>
      <c r="B63" s="17" t="s">
        <v>114</v>
      </c>
      <c r="C63" s="29"/>
      <c r="D63" s="29"/>
      <c r="E63" s="29"/>
      <c r="F63" s="29"/>
      <c r="G63" s="29"/>
      <c r="H63" s="29"/>
      <c r="I63" s="29"/>
      <c r="J63" s="29"/>
      <c r="K63" s="29"/>
      <c r="L63" s="24"/>
      <c r="M63" s="29"/>
      <c r="N63" s="29"/>
      <c r="O63" s="29"/>
      <c r="P63" s="29"/>
      <c r="Q63" s="29"/>
      <c r="R63" s="29"/>
      <c r="S63" s="29"/>
      <c r="T63" s="29"/>
      <c r="U63" s="24"/>
      <c r="V63" s="29"/>
      <c r="W63" s="29"/>
      <c r="X63" s="29"/>
      <c r="Y63" s="29"/>
      <c r="Z63" s="29"/>
      <c r="AA63" s="29"/>
      <c r="AB63" s="24"/>
      <c r="AC63" s="29"/>
      <c r="AD63" s="28"/>
      <c r="AE63" s="29"/>
      <c r="AF63" s="29"/>
      <c r="AG63" s="29"/>
      <c r="AH63" s="29"/>
      <c r="AI63" s="29"/>
      <c r="AJ63" s="29"/>
      <c r="AK63" s="29"/>
      <c r="AL63" s="28"/>
      <c r="AM63" s="29"/>
      <c r="AN63" s="29"/>
      <c r="AO63" s="24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35"/>
      <c r="BA63" s="17" t="s">
        <v>115</v>
      </c>
      <c r="BB63" s="3" t="s">
        <v>354</v>
      </c>
    </row>
    <row r="64" spans="1:54" ht="15.75" customHeight="1" x14ac:dyDescent="0.25">
      <c r="A64" s="88" t="s">
        <v>116</v>
      </c>
      <c r="B64" s="17" t="s">
        <v>117</v>
      </c>
      <c r="C64" s="29"/>
      <c r="D64" s="29"/>
      <c r="E64" s="29"/>
      <c r="F64" s="28"/>
      <c r="G64" s="29"/>
      <c r="H64" s="29"/>
      <c r="I64" s="29"/>
      <c r="J64" s="28"/>
      <c r="K64" s="29"/>
      <c r="L64" s="29"/>
      <c r="M64" s="29"/>
      <c r="N64" s="29"/>
      <c r="O64" s="28"/>
      <c r="P64" s="29"/>
      <c r="Q64" s="29"/>
      <c r="R64" s="29"/>
      <c r="S64" s="28"/>
      <c r="T64" s="29"/>
      <c r="U64" s="29"/>
      <c r="V64" s="29"/>
      <c r="W64" s="29"/>
      <c r="X64" s="29"/>
      <c r="Y64" s="29"/>
      <c r="Z64" s="29"/>
      <c r="AA64" s="29"/>
      <c r="AB64" s="28"/>
      <c r="AC64" s="28"/>
      <c r="AD64" s="29"/>
      <c r="AE64" s="29"/>
      <c r="AF64" s="29"/>
      <c r="AG64" s="29"/>
      <c r="AH64" s="29"/>
      <c r="AI64" s="29"/>
      <c r="AJ64" s="29"/>
      <c r="AK64" s="29"/>
      <c r="AL64" s="29"/>
      <c r="AM64" s="28"/>
      <c r="AN64" s="29"/>
      <c r="AO64" s="29"/>
      <c r="AP64" s="29"/>
      <c r="AQ64" s="29"/>
      <c r="AR64" s="29"/>
      <c r="AS64" s="29"/>
      <c r="AT64" s="29"/>
      <c r="AU64" s="29"/>
      <c r="AV64" s="29"/>
      <c r="AW64" s="28"/>
      <c r="AX64" s="29"/>
      <c r="AY64" s="29"/>
      <c r="AZ64" s="35"/>
      <c r="BA64" s="17" t="s">
        <v>115</v>
      </c>
      <c r="BB64" s="3" t="s">
        <v>354</v>
      </c>
    </row>
    <row r="65" spans="1:54" ht="15.75" customHeight="1" x14ac:dyDescent="0.25">
      <c r="A65" s="88" t="s">
        <v>118</v>
      </c>
      <c r="B65" s="17" t="s">
        <v>119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8"/>
      <c r="Z65" s="29"/>
      <c r="AA65" s="28"/>
      <c r="AB65" s="29"/>
      <c r="AC65" s="29"/>
      <c r="AD65" s="29"/>
      <c r="AE65" s="28"/>
      <c r="AF65" s="29"/>
      <c r="AG65" s="28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35"/>
      <c r="BA65" s="17" t="s">
        <v>115</v>
      </c>
      <c r="BB65" s="3" t="s">
        <v>354</v>
      </c>
    </row>
    <row r="66" spans="1:54" ht="15.75" customHeight="1" x14ac:dyDescent="0.25">
      <c r="A66" s="89" t="s">
        <v>120</v>
      </c>
      <c r="B66" s="17" t="s">
        <v>121</v>
      </c>
      <c r="C66" s="29"/>
      <c r="D66" s="29"/>
      <c r="E66" s="29"/>
      <c r="F66" s="28"/>
      <c r="G66" s="29"/>
      <c r="H66" s="29"/>
      <c r="I66" s="29"/>
      <c r="J66" s="29"/>
      <c r="K66" s="29"/>
      <c r="L66" s="29"/>
      <c r="M66" s="29"/>
      <c r="N66" s="29"/>
      <c r="O66" s="28"/>
      <c r="P66" s="29"/>
      <c r="Q66" s="29"/>
      <c r="R66" s="29"/>
      <c r="S66" s="29"/>
      <c r="T66" s="29"/>
      <c r="U66" s="29"/>
      <c r="V66" s="29"/>
      <c r="W66" s="29"/>
      <c r="X66" s="28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35"/>
      <c r="BA66" s="17" t="s">
        <v>36</v>
      </c>
      <c r="BB66" s="3" t="s">
        <v>355</v>
      </c>
    </row>
    <row r="67" spans="1:54" ht="15.75" customHeight="1" x14ac:dyDescent="0.25">
      <c r="A67" s="88" t="s">
        <v>122</v>
      </c>
      <c r="B67" s="17" t="s">
        <v>123</v>
      </c>
      <c r="C67" s="29"/>
      <c r="D67" s="29"/>
      <c r="E67" s="29"/>
      <c r="F67" s="29"/>
      <c r="G67" s="28"/>
      <c r="H67" s="29"/>
      <c r="I67" s="29"/>
      <c r="J67" s="29"/>
      <c r="K67" s="29"/>
      <c r="L67" s="29"/>
      <c r="M67" s="29"/>
      <c r="N67" s="29"/>
      <c r="O67" s="29"/>
      <c r="P67" s="28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8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35"/>
      <c r="BA67" s="17" t="s">
        <v>124</v>
      </c>
      <c r="BB67" s="3" t="s">
        <v>356</v>
      </c>
    </row>
    <row r="68" spans="1:54" ht="15.75" customHeight="1" thickBot="1" x14ac:dyDescent="0.3">
      <c r="A68" s="88" t="s">
        <v>125</v>
      </c>
      <c r="B68" s="78" t="s">
        <v>126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1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7"/>
      <c r="BA68" s="19" t="s">
        <v>20</v>
      </c>
      <c r="BB68" s="3"/>
    </row>
    <row r="69" spans="1:54" ht="15.75" customHeight="1" x14ac:dyDescent="0.25">
      <c r="A69" s="86" t="s">
        <v>127</v>
      </c>
      <c r="B69" s="19" t="s">
        <v>128</v>
      </c>
      <c r="C69" s="28"/>
      <c r="D69" s="29"/>
      <c r="E69" s="29"/>
      <c r="F69" s="28"/>
      <c r="G69" s="29"/>
      <c r="H69" s="29"/>
      <c r="I69" s="29"/>
      <c r="J69" s="29"/>
      <c r="K69" s="29"/>
      <c r="L69" s="29"/>
      <c r="M69" s="29"/>
      <c r="N69" s="29"/>
      <c r="O69" s="28"/>
      <c r="P69" s="29"/>
      <c r="Q69" s="29"/>
      <c r="R69" s="29"/>
      <c r="S69" s="29"/>
      <c r="T69" s="29"/>
      <c r="U69" s="29"/>
      <c r="V69" s="29"/>
      <c r="W69" s="29"/>
      <c r="X69" s="24"/>
      <c r="Y69" s="28"/>
      <c r="Z69" s="24"/>
      <c r="AA69" s="29"/>
      <c r="AB69" s="24"/>
      <c r="AC69" s="29"/>
      <c r="AD69" s="29"/>
      <c r="AE69" s="24"/>
      <c r="AF69" s="29"/>
      <c r="AG69" s="24"/>
      <c r="AH69" s="29"/>
      <c r="AI69" s="29"/>
      <c r="AJ69" s="29"/>
      <c r="AK69" s="29"/>
      <c r="AL69" s="29"/>
      <c r="AM69" s="29"/>
      <c r="AN69" s="29"/>
      <c r="AO69" s="24"/>
      <c r="AP69" s="24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10" t="s">
        <v>357</v>
      </c>
      <c r="BB69" s="3" t="s">
        <v>358</v>
      </c>
    </row>
    <row r="70" spans="1:54" ht="15.75" customHeight="1" x14ac:dyDescent="0.25">
      <c r="A70" s="88" t="s">
        <v>129</v>
      </c>
      <c r="B70" s="17" t="s">
        <v>130</v>
      </c>
      <c r="AO70" s="22"/>
      <c r="BA70" s="10" t="s">
        <v>20</v>
      </c>
      <c r="BB70" s="3"/>
    </row>
    <row r="71" spans="1:54" ht="15.75" customHeight="1" x14ac:dyDescent="0.25">
      <c r="A71" s="88" t="s">
        <v>131</v>
      </c>
      <c r="B71" s="17" t="s">
        <v>132</v>
      </c>
      <c r="AM71" s="4"/>
      <c r="AS71" s="22"/>
      <c r="BA71" s="10" t="s">
        <v>20</v>
      </c>
      <c r="BB71" s="3"/>
    </row>
    <row r="72" spans="1:54" ht="15.75" customHeight="1" x14ac:dyDescent="0.25">
      <c r="A72" s="89" t="s">
        <v>133</v>
      </c>
      <c r="B72" s="17" t="s">
        <v>134</v>
      </c>
      <c r="AE72" s="4"/>
      <c r="BA72" s="10" t="s">
        <v>135</v>
      </c>
      <c r="BB72" s="3" t="s">
        <v>348</v>
      </c>
    </row>
    <row r="73" spans="1:54" ht="15.75" customHeight="1" x14ac:dyDescent="0.25">
      <c r="A73" s="88" t="s">
        <v>136</v>
      </c>
      <c r="B73" s="17" t="s">
        <v>137</v>
      </c>
      <c r="K73" s="4"/>
      <c r="T73" s="4"/>
      <c r="AY73" s="4"/>
      <c r="BA73" s="10" t="s">
        <v>138</v>
      </c>
      <c r="BB73" s="3" t="s">
        <v>359</v>
      </c>
    </row>
    <row r="74" spans="1:54" ht="15.75" customHeight="1" x14ac:dyDescent="0.25">
      <c r="A74" s="88" t="s">
        <v>139</v>
      </c>
      <c r="B74" s="79" t="s">
        <v>140</v>
      </c>
      <c r="Z74" s="4"/>
      <c r="BA74" s="10"/>
      <c r="BB74" s="3" t="s">
        <v>365</v>
      </c>
    </row>
    <row r="75" spans="1:54" ht="15.75" customHeight="1" x14ac:dyDescent="0.25">
      <c r="A75" s="88" t="s">
        <v>141</v>
      </c>
      <c r="B75" s="17" t="s">
        <v>142</v>
      </c>
      <c r="AD75" s="4"/>
      <c r="AS75" s="22"/>
      <c r="AW75" s="4"/>
      <c r="BA75" s="10" t="s">
        <v>143</v>
      </c>
      <c r="BB75" s="3"/>
    </row>
    <row r="76" spans="1:54" ht="15.75" customHeight="1" x14ac:dyDescent="0.25">
      <c r="A76" s="88" t="s">
        <v>144</v>
      </c>
      <c r="B76" s="17" t="s">
        <v>145</v>
      </c>
      <c r="AC76" s="4"/>
      <c r="AO76" s="22"/>
      <c r="BA76" s="10" t="s">
        <v>11</v>
      </c>
      <c r="BB76" s="3"/>
    </row>
    <row r="77" spans="1:54" ht="15.75" customHeight="1" x14ac:dyDescent="0.25">
      <c r="A77" s="124" t="s">
        <v>412</v>
      </c>
      <c r="B77" s="111" t="s">
        <v>411</v>
      </c>
      <c r="AC77" s="4"/>
      <c r="AO77" s="24"/>
      <c r="BA77" s="72" t="s">
        <v>413</v>
      </c>
      <c r="BB77" s="71" t="s">
        <v>414</v>
      </c>
    </row>
    <row r="78" spans="1:54" ht="15.75" customHeight="1" x14ac:dyDescent="0.25">
      <c r="A78" s="88" t="s">
        <v>146</v>
      </c>
      <c r="B78" s="17" t="s">
        <v>147</v>
      </c>
      <c r="H78" s="4"/>
      <c r="Q78" s="4"/>
      <c r="BA78" s="10" t="s">
        <v>148</v>
      </c>
      <c r="BB78" s="3" t="s">
        <v>364</v>
      </c>
    </row>
    <row r="79" spans="1:54" ht="15.75" customHeight="1" x14ac:dyDescent="0.25">
      <c r="A79" s="88" t="s">
        <v>149</v>
      </c>
      <c r="B79" s="17" t="s">
        <v>150</v>
      </c>
      <c r="K79" s="4"/>
      <c r="N79" s="4"/>
      <c r="T79" s="4"/>
      <c r="W79" s="4"/>
      <c r="Z79" s="22"/>
      <c r="AB79" s="22"/>
      <c r="AD79" s="4"/>
      <c r="AE79" s="22"/>
      <c r="BA79" s="15" t="s">
        <v>151</v>
      </c>
      <c r="BB79" s="3" t="s">
        <v>354</v>
      </c>
    </row>
    <row r="80" spans="1:54" ht="15.75" customHeight="1" x14ac:dyDescent="0.25">
      <c r="A80" s="88" t="s">
        <v>152</v>
      </c>
      <c r="B80" s="17" t="s">
        <v>153</v>
      </c>
      <c r="F80" s="4"/>
      <c r="L80" s="4"/>
      <c r="O80" s="4"/>
      <c r="U80" s="4"/>
      <c r="AA80" s="4"/>
      <c r="AH80" s="4"/>
      <c r="BA80" s="15" t="s">
        <v>151</v>
      </c>
      <c r="BB80" s="3" t="s">
        <v>354</v>
      </c>
    </row>
    <row r="81" spans="1:54" ht="15.75" customHeight="1" x14ac:dyDescent="0.25">
      <c r="A81" s="88" t="s">
        <v>154</v>
      </c>
      <c r="B81" s="61" t="s">
        <v>155</v>
      </c>
      <c r="I81" s="4"/>
      <c r="M81" s="4"/>
      <c r="R81" s="4"/>
      <c r="V81" s="4"/>
      <c r="Y81" s="4"/>
      <c r="AG81" s="4"/>
      <c r="BA81" s="15" t="s">
        <v>151</v>
      </c>
      <c r="BB81" s="3" t="s">
        <v>354</v>
      </c>
    </row>
    <row r="82" spans="1:54" ht="15.75" customHeight="1" x14ac:dyDescent="0.25">
      <c r="A82" s="88" t="s">
        <v>156</v>
      </c>
      <c r="B82" s="62" t="s">
        <v>137</v>
      </c>
      <c r="C82" s="29"/>
      <c r="J82" s="94"/>
      <c r="L82" s="4"/>
      <c r="U82" s="4"/>
      <c r="AX82" s="4"/>
      <c r="BA82" s="10" t="s">
        <v>138</v>
      </c>
      <c r="BB82" s="3"/>
    </row>
    <row r="83" spans="1:54" ht="15.75" customHeight="1" x14ac:dyDescent="0.25">
      <c r="A83" s="88" t="s">
        <v>205</v>
      </c>
      <c r="B83" s="17" t="s">
        <v>206</v>
      </c>
      <c r="K83" s="4"/>
      <c r="T83" s="4"/>
      <c r="BA83" s="10" t="s">
        <v>31</v>
      </c>
      <c r="BB83" s="3"/>
    </row>
    <row r="84" spans="1:54" ht="17.25" customHeight="1" x14ac:dyDescent="0.25">
      <c r="A84" s="88" t="s">
        <v>207</v>
      </c>
      <c r="B84" s="17" t="s">
        <v>208</v>
      </c>
      <c r="C84" s="4"/>
      <c r="K84" s="22"/>
      <c r="T84" s="22"/>
      <c r="Z84" s="22"/>
      <c r="AA84" s="22"/>
      <c r="AI84" s="4"/>
      <c r="AO84" s="22"/>
      <c r="AP84" s="22"/>
      <c r="BA84" s="10" t="s">
        <v>373</v>
      </c>
      <c r="BB84" s="3" t="s">
        <v>374</v>
      </c>
    </row>
    <row r="85" spans="1:54" ht="15.75" customHeight="1" x14ac:dyDescent="0.25">
      <c r="B85" s="62" t="s">
        <v>158</v>
      </c>
      <c r="C85" s="29" t="str">
        <f>IF(C42="","",C42)</f>
        <v/>
      </c>
      <c r="D85" s="29" t="str">
        <f t="shared" ref="D85:AZ85" si="3">IF(D42="","",D42)</f>
        <v/>
      </c>
      <c r="E85" s="29" t="str">
        <f t="shared" si="3"/>
        <v/>
      </c>
      <c r="F85" s="29" t="str">
        <f t="shared" si="3"/>
        <v/>
      </c>
      <c r="G85" s="29" t="str">
        <f t="shared" si="3"/>
        <v/>
      </c>
      <c r="H85" s="29" t="str">
        <f t="shared" si="3"/>
        <v/>
      </c>
      <c r="I85" s="29" t="str">
        <f t="shared" si="3"/>
        <v/>
      </c>
      <c r="J85" s="29" t="str">
        <f t="shared" si="3"/>
        <v/>
      </c>
      <c r="K85" s="29" t="str">
        <f t="shared" si="3"/>
        <v/>
      </c>
      <c r="L85" s="29" t="str">
        <f t="shared" si="3"/>
        <v/>
      </c>
      <c r="M85" s="29" t="str">
        <f t="shared" si="3"/>
        <v/>
      </c>
      <c r="N85" s="29" t="str">
        <f t="shared" si="3"/>
        <v/>
      </c>
      <c r="O85" s="29" t="str">
        <f t="shared" si="3"/>
        <v/>
      </c>
      <c r="P85" s="29" t="str">
        <f t="shared" si="3"/>
        <v/>
      </c>
      <c r="Q85" s="29" t="str">
        <f t="shared" si="3"/>
        <v/>
      </c>
      <c r="R85" s="29" t="str">
        <f t="shared" si="3"/>
        <v/>
      </c>
      <c r="S85" s="29" t="str">
        <f t="shared" si="3"/>
        <v/>
      </c>
      <c r="T85" s="29" t="str">
        <f t="shared" si="3"/>
        <v/>
      </c>
      <c r="U85" s="29" t="str">
        <f t="shared" si="3"/>
        <v/>
      </c>
      <c r="V85" s="29" t="str">
        <f t="shared" si="3"/>
        <v/>
      </c>
      <c r="W85" s="29" t="str">
        <f t="shared" si="3"/>
        <v/>
      </c>
      <c r="X85" s="29" t="str">
        <f t="shared" si="3"/>
        <v/>
      </c>
      <c r="Y85" s="29" t="str">
        <f t="shared" si="3"/>
        <v/>
      </c>
      <c r="Z85" s="29" t="str">
        <f t="shared" si="3"/>
        <v/>
      </c>
      <c r="AA85" s="29" t="str">
        <f t="shared" si="3"/>
        <v/>
      </c>
      <c r="AB85" s="29" t="str">
        <f t="shared" si="3"/>
        <v/>
      </c>
      <c r="AC85" s="29" t="str">
        <f t="shared" si="3"/>
        <v/>
      </c>
      <c r="AD85" s="29" t="str">
        <f t="shared" si="3"/>
        <v/>
      </c>
      <c r="AE85" s="29" t="str">
        <f t="shared" si="3"/>
        <v/>
      </c>
      <c r="AF85" s="29" t="str">
        <f t="shared" si="3"/>
        <v/>
      </c>
      <c r="AG85" s="29" t="str">
        <f t="shared" si="3"/>
        <v/>
      </c>
      <c r="AH85" s="29" t="str">
        <f t="shared" si="3"/>
        <v/>
      </c>
      <c r="AI85" s="29" t="str">
        <f t="shared" si="3"/>
        <v/>
      </c>
      <c r="AJ85" s="29" t="str">
        <f t="shared" si="3"/>
        <v/>
      </c>
      <c r="AK85" s="29" t="str">
        <f t="shared" si="3"/>
        <v/>
      </c>
      <c r="AL85" s="29" t="str">
        <f t="shared" si="3"/>
        <v/>
      </c>
      <c r="AM85" s="29" t="str">
        <f t="shared" si="3"/>
        <v/>
      </c>
      <c r="AN85" s="29" t="str">
        <f t="shared" si="3"/>
        <v/>
      </c>
      <c r="AO85" s="29" t="str">
        <f t="shared" si="3"/>
        <v/>
      </c>
      <c r="AP85" s="29" t="str">
        <f t="shared" si="3"/>
        <v/>
      </c>
      <c r="AQ85" s="29" t="str">
        <f t="shared" si="3"/>
        <v/>
      </c>
      <c r="AR85" s="29" t="str">
        <f t="shared" si="3"/>
        <v/>
      </c>
      <c r="AS85" s="29" t="str">
        <f t="shared" si="3"/>
        <v/>
      </c>
      <c r="AT85" s="29" t="str">
        <f t="shared" si="3"/>
        <v/>
      </c>
      <c r="AU85" s="29" t="str">
        <f t="shared" si="3"/>
        <v/>
      </c>
      <c r="AV85" s="29" t="str">
        <f t="shared" si="3"/>
        <v/>
      </c>
      <c r="AW85" s="29" t="str">
        <f t="shared" si="3"/>
        <v/>
      </c>
      <c r="AX85" s="29" t="str">
        <f t="shared" si="3"/>
        <v/>
      </c>
      <c r="AY85" s="29" t="str">
        <f t="shared" si="3"/>
        <v/>
      </c>
      <c r="AZ85" s="29" t="str">
        <f t="shared" si="3"/>
        <v/>
      </c>
      <c r="BA85" s="108" t="s">
        <v>308</v>
      </c>
      <c r="BB85" s="71" t="s">
        <v>394</v>
      </c>
    </row>
    <row r="86" spans="1:54" ht="15.75" customHeight="1" x14ac:dyDescent="0.25">
      <c r="A86" s="88" t="s">
        <v>160</v>
      </c>
      <c r="B86" s="19" t="s">
        <v>161</v>
      </c>
      <c r="M86" s="4"/>
      <c r="V86" s="4"/>
      <c r="AW86" s="4"/>
      <c r="BA86" s="15" t="s">
        <v>138</v>
      </c>
      <c r="BB86" s="3"/>
    </row>
    <row r="87" spans="1:54" ht="15.75" customHeight="1" x14ac:dyDescent="0.25">
      <c r="A87" s="88" t="s">
        <v>162</v>
      </c>
      <c r="B87" s="79" t="s">
        <v>140</v>
      </c>
      <c r="M87" s="4"/>
      <c r="V87" s="4"/>
      <c r="AE87" s="4"/>
      <c r="BA87" s="15"/>
      <c r="BB87" s="3" t="s">
        <v>366</v>
      </c>
    </row>
    <row r="88" spans="1:54" ht="15.75" customHeight="1" x14ac:dyDescent="0.25">
      <c r="A88" s="88" t="s">
        <v>163</v>
      </c>
      <c r="B88" s="123" t="s">
        <v>164</v>
      </c>
      <c r="Z88" s="22"/>
      <c r="AC88" s="4"/>
      <c r="AE88" s="4"/>
      <c r="AF88" s="4"/>
      <c r="AG88" s="4"/>
      <c r="AP88" s="4"/>
      <c r="BA88" s="10" t="s">
        <v>165</v>
      </c>
      <c r="BB88" s="3" t="s">
        <v>367</v>
      </c>
    </row>
    <row r="89" spans="1:54" ht="15.75" customHeight="1" thickBot="1" x14ac:dyDescent="0.3">
      <c r="B89" s="61" t="s">
        <v>167</v>
      </c>
      <c r="C89" s="29" t="str">
        <f>IF(C45="","",C45)</f>
        <v/>
      </c>
      <c r="D89" t="str">
        <f t="shared" ref="D89:AZ89" si="4">IF(D45="","",D45)</f>
        <v/>
      </c>
      <c r="E89" t="str">
        <f t="shared" si="4"/>
        <v/>
      </c>
      <c r="F89" s="4" t="str">
        <f t="shared" si="4"/>
        <v/>
      </c>
      <c r="G89" t="str">
        <f t="shared" si="4"/>
        <v/>
      </c>
      <c r="H89" s="4" t="str">
        <f t="shared" si="4"/>
        <v/>
      </c>
      <c r="I89" s="22" t="str">
        <f t="shared" si="4"/>
        <v/>
      </c>
      <c r="J89" t="str">
        <f t="shared" si="4"/>
        <v/>
      </c>
      <c r="K89" t="str">
        <f t="shared" si="4"/>
        <v/>
      </c>
      <c r="L89" t="str">
        <f t="shared" si="4"/>
        <v/>
      </c>
      <c r="M89" t="str">
        <f t="shared" si="4"/>
        <v/>
      </c>
      <c r="N89" s="4" t="str">
        <f t="shared" si="4"/>
        <v/>
      </c>
      <c r="O89" s="4" t="str">
        <f t="shared" si="4"/>
        <v/>
      </c>
      <c r="P89" t="str">
        <f t="shared" si="4"/>
        <v/>
      </c>
      <c r="Q89" s="4" t="str">
        <f t="shared" si="4"/>
        <v/>
      </c>
      <c r="R89" s="22" t="str">
        <f t="shared" si="4"/>
        <v/>
      </c>
      <c r="S89" t="str">
        <f t="shared" si="4"/>
        <v/>
      </c>
      <c r="T89" t="str">
        <f t="shared" si="4"/>
        <v/>
      </c>
      <c r="U89" t="str">
        <f t="shared" si="4"/>
        <v/>
      </c>
      <c r="V89" t="str">
        <f t="shared" si="4"/>
        <v/>
      </c>
      <c r="W89" s="4" t="str">
        <f t="shared" si="4"/>
        <v/>
      </c>
      <c r="X89" t="str">
        <f t="shared" si="4"/>
        <v/>
      </c>
      <c r="Y89" t="str">
        <f t="shared" si="4"/>
        <v/>
      </c>
      <c r="Z89" t="str">
        <f t="shared" si="4"/>
        <v/>
      </c>
      <c r="AA89" t="str">
        <f t="shared" si="4"/>
        <v/>
      </c>
      <c r="AB89" s="4" t="str">
        <f t="shared" si="4"/>
        <v/>
      </c>
      <c r="AC89" t="str">
        <f t="shared" si="4"/>
        <v/>
      </c>
      <c r="AD89" t="str">
        <f t="shared" si="4"/>
        <v/>
      </c>
      <c r="AE89" s="22" t="str">
        <f t="shared" si="4"/>
        <v/>
      </c>
      <c r="AF89" t="str">
        <f t="shared" si="4"/>
        <v/>
      </c>
      <c r="AG89" t="str">
        <f t="shared" si="4"/>
        <v/>
      </c>
      <c r="AH89" t="str">
        <f t="shared" si="4"/>
        <v/>
      </c>
      <c r="AI89" s="4" t="str">
        <f t="shared" si="4"/>
        <v/>
      </c>
      <c r="AJ89" t="str">
        <f t="shared" si="4"/>
        <v/>
      </c>
      <c r="AK89" t="str">
        <f t="shared" si="4"/>
        <v/>
      </c>
      <c r="AL89" t="str">
        <f t="shared" si="4"/>
        <v/>
      </c>
      <c r="AM89" s="4" t="str">
        <f t="shared" si="4"/>
        <v/>
      </c>
      <c r="AN89" t="str">
        <f t="shared" si="4"/>
        <v/>
      </c>
      <c r="AO89" t="str">
        <f t="shared" si="4"/>
        <v/>
      </c>
      <c r="AP89" t="str">
        <f t="shared" si="4"/>
        <v/>
      </c>
      <c r="AQ89" s="4" t="str">
        <f t="shared" si="4"/>
        <v/>
      </c>
      <c r="AR89" t="str">
        <f t="shared" si="4"/>
        <v/>
      </c>
      <c r="AS89" t="str">
        <f t="shared" si="4"/>
        <v/>
      </c>
      <c r="AT89" t="str">
        <f t="shared" si="4"/>
        <v/>
      </c>
      <c r="AU89" s="4" t="str">
        <f t="shared" si="4"/>
        <v/>
      </c>
      <c r="AV89" t="str">
        <f t="shared" si="4"/>
        <v/>
      </c>
      <c r="AW89" t="str">
        <f t="shared" si="4"/>
        <v/>
      </c>
      <c r="AX89" t="str">
        <f t="shared" si="4"/>
        <v/>
      </c>
      <c r="AY89" t="str">
        <f t="shared" si="4"/>
        <v/>
      </c>
      <c r="AZ89" t="str">
        <f t="shared" si="4"/>
        <v/>
      </c>
      <c r="BA89" s="106" t="s">
        <v>168</v>
      </c>
      <c r="BB89" s="71" t="s">
        <v>394</v>
      </c>
    </row>
    <row r="90" spans="1:54" ht="15.75" customHeight="1" x14ac:dyDescent="0.25">
      <c r="A90" s="87"/>
      <c r="B90" s="80" t="s">
        <v>45</v>
      </c>
      <c r="C90" s="42" t="str">
        <f>IF(C24="L","L","")</f>
        <v/>
      </c>
      <c r="D90" s="41" t="str">
        <f>IF(D24="L","L","")</f>
        <v/>
      </c>
      <c r="E90" s="41" t="str">
        <f t="shared" ref="E90:AM90" si="5">IF(E24="L","L","")</f>
        <v/>
      </c>
      <c r="F90" s="41" t="str">
        <f t="shared" si="5"/>
        <v/>
      </c>
      <c r="G90" s="41" t="str">
        <f t="shared" si="5"/>
        <v/>
      </c>
      <c r="H90" s="41" t="str">
        <f t="shared" si="5"/>
        <v/>
      </c>
      <c r="I90" s="41" t="str">
        <f t="shared" si="5"/>
        <v/>
      </c>
      <c r="J90" s="41" t="str">
        <f t="shared" si="5"/>
        <v/>
      </c>
      <c r="K90" s="41" t="str">
        <f t="shared" si="5"/>
        <v/>
      </c>
      <c r="L90" s="41" t="str">
        <f t="shared" si="5"/>
        <v/>
      </c>
      <c r="M90" s="41" t="str">
        <f t="shared" si="5"/>
        <v/>
      </c>
      <c r="N90" s="41" t="str">
        <f t="shared" si="5"/>
        <v/>
      </c>
      <c r="O90" s="41" t="str">
        <f t="shared" si="5"/>
        <v/>
      </c>
      <c r="P90" s="41" t="str">
        <f t="shared" si="5"/>
        <v/>
      </c>
      <c r="Q90" s="41" t="str">
        <f t="shared" si="5"/>
        <v/>
      </c>
      <c r="R90" s="41" t="str">
        <f t="shared" si="5"/>
        <v/>
      </c>
      <c r="S90" s="41" t="str">
        <f t="shared" si="5"/>
        <v/>
      </c>
      <c r="T90" s="41" t="str">
        <f t="shared" si="5"/>
        <v/>
      </c>
      <c r="U90" s="41" t="str">
        <f t="shared" si="5"/>
        <v/>
      </c>
      <c r="V90" s="41" t="str">
        <f t="shared" si="5"/>
        <v/>
      </c>
      <c r="W90" s="41" t="str">
        <f t="shared" si="5"/>
        <v/>
      </c>
      <c r="X90" s="41" t="str">
        <f t="shared" si="5"/>
        <v/>
      </c>
      <c r="Y90" s="41" t="str">
        <f t="shared" si="5"/>
        <v/>
      </c>
      <c r="Z90" s="41" t="str">
        <f t="shared" si="5"/>
        <v/>
      </c>
      <c r="AA90" s="41" t="str">
        <f t="shared" si="5"/>
        <v/>
      </c>
      <c r="AB90" s="41" t="str">
        <f t="shared" si="5"/>
        <v/>
      </c>
      <c r="AC90" s="41" t="str">
        <f t="shared" si="5"/>
        <v/>
      </c>
      <c r="AD90" s="41" t="str">
        <f t="shared" si="5"/>
        <v/>
      </c>
      <c r="AE90" s="41" t="str">
        <f t="shared" si="5"/>
        <v/>
      </c>
      <c r="AF90" s="41" t="str">
        <f t="shared" si="5"/>
        <v/>
      </c>
      <c r="AG90" s="41" t="str">
        <f t="shared" si="5"/>
        <v/>
      </c>
      <c r="AH90" s="41" t="str">
        <f t="shared" si="5"/>
        <v/>
      </c>
      <c r="AI90" s="41" t="str">
        <f t="shared" si="5"/>
        <v/>
      </c>
      <c r="AJ90" s="41" t="str">
        <f t="shared" si="5"/>
        <v/>
      </c>
      <c r="AK90" s="41" t="str">
        <f t="shared" si="5"/>
        <v/>
      </c>
      <c r="AL90" s="41" t="str">
        <f t="shared" si="5"/>
        <v/>
      </c>
      <c r="AM90" s="41" t="str">
        <f t="shared" si="5"/>
        <v/>
      </c>
      <c r="AN90" s="41"/>
      <c r="AO90" s="41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3"/>
      <c r="BA90" s="17"/>
      <c r="BB90" s="3" t="s">
        <v>333</v>
      </c>
    </row>
    <row r="91" spans="1:54" ht="15.75" customHeight="1" x14ac:dyDescent="0.25">
      <c r="A91" s="88" t="s">
        <v>169</v>
      </c>
      <c r="B91" s="81" t="s">
        <v>170</v>
      </c>
      <c r="C91" s="43" t="str">
        <f>IF(C24="L","#","")</f>
        <v/>
      </c>
      <c r="D91" s="29" t="str">
        <f>IF(D24="L","#","")</f>
        <v/>
      </c>
      <c r="E91" s="29" t="str">
        <f t="shared" ref="E91:AO91" si="6">IF(E24="L","#","")</f>
        <v/>
      </c>
      <c r="F91" s="29" t="str">
        <f t="shared" si="6"/>
        <v/>
      </c>
      <c r="G91" s="29" t="str">
        <f t="shared" si="6"/>
        <v/>
      </c>
      <c r="H91" s="29" t="str">
        <f t="shared" si="6"/>
        <v/>
      </c>
      <c r="I91" s="29" t="str">
        <f t="shared" si="6"/>
        <v/>
      </c>
      <c r="J91" s="29" t="str">
        <f t="shared" si="6"/>
        <v/>
      </c>
      <c r="K91" s="29" t="str">
        <f t="shared" si="6"/>
        <v/>
      </c>
      <c r="L91" s="29" t="str">
        <f t="shared" si="6"/>
        <v/>
      </c>
      <c r="M91" s="29" t="str">
        <f t="shared" si="6"/>
        <v/>
      </c>
      <c r="N91" s="29" t="str">
        <f t="shared" si="6"/>
        <v/>
      </c>
      <c r="O91" s="29" t="str">
        <f t="shared" si="6"/>
        <v/>
      </c>
      <c r="P91" s="29" t="str">
        <f t="shared" si="6"/>
        <v/>
      </c>
      <c r="Q91" s="29" t="str">
        <f t="shared" si="6"/>
        <v/>
      </c>
      <c r="R91" s="29" t="str">
        <f t="shared" si="6"/>
        <v/>
      </c>
      <c r="S91" s="29" t="str">
        <f t="shared" si="6"/>
        <v/>
      </c>
      <c r="T91" s="29" t="str">
        <f t="shared" si="6"/>
        <v/>
      </c>
      <c r="U91" s="29" t="str">
        <f t="shared" si="6"/>
        <v/>
      </c>
      <c r="V91" s="29" t="str">
        <f t="shared" si="6"/>
        <v/>
      </c>
      <c r="W91" s="29" t="str">
        <f t="shared" si="6"/>
        <v/>
      </c>
      <c r="X91" s="29" t="str">
        <f t="shared" si="6"/>
        <v/>
      </c>
      <c r="Y91" s="29" t="str">
        <f t="shared" si="6"/>
        <v/>
      </c>
      <c r="Z91" s="29" t="str">
        <f t="shared" si="6"/>
        <v/>
      </c>
      <c r="AA91" s="29" t="str">
        <f t="shared" si="6"/>
        <v/>
      </c>
      <c r="AB91" s="29" t="str">
        <f t="shared" si="6"/>
        <v/>
      </c>
      <c r="AC91" s="29" t="str">
        <f t="shared" si="6"/>
        <v/>
      </c>
      <c r="AD91" s="29" t="str">
        <f t="shared" si="6"/>
        <v/>
      </c>
      <c r="AE91" s="29" t="str">
        <f t="shared" si="6"/>
        <v/>
      </c>
      <c r="AF91" s="29" t="str">
        <f t="shared" si="6"/>
        <v/>
      </c>
      <c r="AG91" s="29" t="str">
        <f t="shared" si="6"/>
        <v/>
      </c>
      <c r="AH91" s="29" t="str">
        <f t="shared" si="6"/>
        <v/>
      </c>
      <c r="AI91" s="29" t="str">
        <f t="shared" si="6"/>
        <v/>
      </c>
      <c r="AJ91" s="29" t="str">
        <f t="shared" si="6"/>
        <v/>
      </c>
      <c r="AK91" s="29" t="str">
        <f t="shared" si="6"/>
        <v/>
      </c>
      <c r="AL91" s="29" t="str">
        <f t="shared" si="6"/>
        <v/>
      </c>
      <c r="AM91" s="29" t="str">
        <f t="shared" si="6"/>
        <v/>
      </c>
      <c r="AN91" s="29" t="str">
        <f t="shared" si="6"/>
        <v/>
      </c>
      <c r="AO91" s="29" t="str">
        <f t="shared" si="6"/>
        <v/>
      </c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35"/>
      <c r="BA91" s="17" t="s">
        <v>36</v>
      </c>
      <c r="BB91" s="3" t="s">
        <v>332</v>
      </c>
    </row>
    <row r="92" spans="1:54" ht="15.75" customHeight="1" x14ac:dyDescent="0.25">
      <c r="A92" s="88" t="s">
        <v>171</v>
      </c>
      <c r="B92" s="17" t="s">
        <v>172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8"/>
      <c r="AY92" s="29"/>
      <c r="AZ92" s="35"/>
      <c r="BA92" s="17" t="s">
        <v>20</v>
      </c>
      <c r="BB92" s="3"/>
    </row>
    <row r="93" spans="1:54" ht="15.75" customHeight="1" x14ac:dyDescent="0.25">
      <c r="A93" s="88" t="s">
        <v>173</v>
      </c>
      <c r="B93" s="17" t="s">
        <v>174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8"/>
      <c r="AS93" s="29"/>
      <c r="AT93" s="29"/>
      <c r="AU93" s="29"/>
      <c r="AV93" s="29"/>
      <c r="AW93" s="29"/>
      <c r="AX93" s="29"/>
      <c r="AY93" s="29"/>
      <c r="AZ93" s="35"/>
      <c r="BA93" s="17" t="s">
        <v>82</v>
      </c>
      <c r="BB93" s="3"/>
    </row>
    <row r="94" spans="1:54" ht="15.75" customHeight="1" x14ac:dyDescent="0.25">
      <c r="A94" s="88" t="s">
        <v>175</v>
      </c>
      <c r="B94" s="17" t="s">
        <v>176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8"/>
      <c r="AP94" s="29"/>
      <c r="AQ94" s="29"/>
      <c r="AR94" s="29"/>
      <c r="AS94" s="28"/>
      <c r="AT94" s="28"/>
      <c r="AU94" s="28"/>
      <c r="AV94" s="28"/>
      <c r="AW94" s="28"/>
      <c r="AX94" s="29"/>
      <c r="AY94" s="29"/>
      <c r="AZ94" s="35"/>
      <c r="BA94" s="17" t="s">
        <v>177</v>
      </c>
      <c r="BB94" s="3"/>
    </row>
    <row r="95" spans="1:54" ht="15.75" customHeight="1" x14ac:dyDescent="0.25">
      <c r="A95" s="88" t="s">
        <v>178</v>
      </c>
      <c r="B95" s="17" t="s">
        <v>179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4"/>
      <c r="N95" s="29"/>
      <c r="O95" s="29"/>
      <c r="P95" s="29"/>
      <c r="Q95" s="29"/>
      <c r="R95" s="29"/>
      <c r="S95" s="29"/>
      <c r="T95" s="29"/>
      <c r="U95" s="29"/>
      <c r="V95" s="24"/>
      <c r="W95" s="29"/>
      <c r="X95" s="36"/>
      <c r="Y95" s="29"/>
      <c r="Z95" s="29"/>
      <c r="AA95" s="29"/>
      <c r="AB95" s="29"/>
      <c r="AC95" s="28"/>
      <c r="AD95" s="29"/>
      <c r="AE95" s="29"/>
      <c r="AF95" s="28"/>
      <c r="AG95" s="28"/>
      <c r="AH95" s="29"/>
      <c r="AI95" s="29"/>
      <c r="AJ95" s="29"/>
      <c r="AK95" s="29"/>
      <c r="AL95" s="29"/>
      <c r="AM95" s="28"/>
      <c r="AN95" s="28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8"/>
      <c r="AZ95" s="35"/>
      <c r="BA95" s="17" t="s">
        <v>180</v>
      </c>
      <c r="BB95" s="3" t="s">
        <v>371</v>
      </c>
    </row>
    <row r="96" spans="1:54" ht="15.75" customHeight="1" x14ac:dyDescent="0.25">
      <c r="B96" s="17" t="s">
        <v>182</v>
      </c>
      <c r="C96" s="29" t="str">
        <f>IF(C44="","",C44)</f>
        <v/>
      </c>
      <c r="D96" s="29" t="str">
        <f>IF(D44="","",D44)</f>
        <v/>
      </c>
      <c r="E96" s="29" t="str">
        <f t="shared" ref="E96:AZ96" si="7">IF(E44="","",E44)</f>
        <v/>
      </c>
      <c r="F96" s="29" t="str">
        <f t="shared" si="7"/>
        <v/>
      </c>
      <c r="G96" s="29" t="str">
        <f t="shared" si="7"/>
        <v/>
      </c>
      <c r="H96" s="29" t="str">
        <f t="shared" si="7"/>
        <v/>
      </c>
      <c r="I96" s="29" t="str">
        <f t="shared" si="7"/>
        <v/>
      </c>
      <c r="J96" s="29" t="str">
        <f t="shared" si="7"/>
        <v/>
      </c>
      <c r="K96" s="28" t="str">
        <f t="shared" si="7"/>
        <v/>
      </c>
      <c r="L96" s="29" t="str">
        <f t="shared" si="7"/>
        <v/>
      </c>
      <c r="M96" s="29" t="str">
        <f t="shared" si="7"/>
        <v/>
      </c>
      <c r="N96" s="29" t="str">
        <f t="shared" si="7"/>
        <v/>
      </c>
      <c r="O96" s="29" t="str">
        <f t="shared" si="7"/>
        <v/>
      </c>
      <c r="P96" s="29" t="str">
        <f t="shared" si="7"/>
        <v/>
      </c>
      <c r="Q96" s="29" t="str">
        <f t="shared" si="7"/>
        <v/>
      </c>
      <c r="R96" s="29" t="str">
        <f t="shared" si="7"/>
        <v/>
      </c>
      <c r="S96" s="29" t="str">
        <f t="shared" si="7"/>
        <v/>
      </c>
      <c r="T96" s="28" t="str">
        <f t="shared" si="7"/>
        <v/>
      </c>
      <c r="U96" s="29" t="str">
        <f t="shared" si="7"/>
        <v/>
      </c>
      <c r="V96" s="29" t="str">
        <f t="shared" si="7"/>
        <v/>
      </c>
      <c r="W96" s="29" t="str">
        <f t="shared" si="7"/>
        <v/>
      </c>
      <c r="X96" s="29" t="str">
        <f t="shared" si="7"/>
        <v/>
      </c>
      <c r="Y96" s="29" t="str">
        <f t="shared" si="7"/>
        <v/>
      </c>
      <c r="Z96" s="29" t="str">
        <f t="shared" si="7"/>
        <v/>
      </c>
      <c r="AA96" s="28" t="str">
        <f t="shared" si="7"/>
        <v/>
      </c>
      <c r="AB96" s="29" t="str">
        <f t="shared" si="7"/>
        <v/>
      </c>
      <c r="AC96" s="29" t="str">
        <f t="shared" si="7"/>
        <v/>
      </c>
      <c r="AD96" s="29" t="str">
        <f t="shared" si="7"/>
        <v/>
      </c>
      <c r="AE96" s="28" t="str">
        <f t="shared" si="7"/>
        <v/>
      </c>
      <c r="AF96" s="28" t="str">
        <f t="shared" si="7"/>
        <v/>
      </c>
      <c r="AG96" s="29" t="str">
        <f t="shared" si="7"/>
        <v/>
      </c>
      <c r="AH96" s="29" t="str">
        <f t="shared" si="7"/>
        <v/>
      </c>
      <c r="AI96" s="29" t="str">
        <f t="shared" si="7"/>
        <v/>
      </c>
      <c r="AJ96" s="29" t="str">
        <f t="shared" si="7"/>
        <v/>
      </c>
      <c r="AK96" s="29" t="str">
        <f t="shared" si="7"/>
        <v/>
      </c>
      <c r="AL96" s="28" t="str">
        <f t="shared" si="7"/>
        <v/>
      </c>
      <c r="AM96" s="29" t="str">
        <f t="shared" si="7"/>
        <v/>
      </c>
      <c r="AN96" s="29" t="str">
        <f t="shared" si="7"/>
        <v/>
      </c>
      <c r="AO96" s="29" t="str">
        <f t="shared" si="7"/>
        <v/>
      </c>
      <c r="AP96" s="28" t="str">
        <f t="shared" si="7"/>
        <v/>
      </c>
      <c r="AQ96" s="29" t="str">
        <f t="shared" si="7"/>
        <v/>
      </c>
      <c r="AR96" s="29" t="str">
        <f t="shared" si="7"/>
        <v/>
      </c>
      <c r="AS96" s="29" t="str">
        <f t="shared" si="7"/>
        <v/>
      </c>
      <c r="AT96" s="29" t="str">
        <f t="shared" si="7"/>
        <v/>
      </c>
      <c r="AU96" s="29" t="str">
        <f t="shared" si="7"/>
        <v/>
      </c>
      <c r="AV96" s="29" t="str">
        <f t="shared" si="7"/>
        <v/>
      </c>
      <c r="AW96" s="29" t="str">
        <f t="shared" si="7"/>
        <v/>
      </c>
      <c r="AX96" s="29" t="str">
        <f t="shared" si="7"/>
        <v/>
      </c>
      <c r="AY96" s="29" t="str">
        <f t="shared" si="7"/>
        <v/>
      </c>
      <c r="AZ96" s="35" t="str">
        <f t="shared" si="7"/>
        <v/>
      </c>
      <c r="BA96" s="106" t="s">
        <v>182</v>
      </c>
      <c r="BB96" s="71" t="s">
        <v>394</v>
      </c>
    </row>
    <row r="97" spans="1:54" ht="15.75" customHeight="1" x14ac:dyDescent="0.25">
      <c r="A97" s="88" t="s">
        <v>183</v>
      </c>
      <c r="B97" s="61" t="s">
        <v>184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8"/>
      <c r="N97" s="29"/>
      <c r="O97" s="29"/>
      <c r="P97" s="29"/>
      <c r="Q97" s="29"/>
      <c r="R97" s="29"/>
      <c r="S97" s="29"/>
      <c r="T97" s="29"/>
      <c r="U97" s="29"/>
      <c r="V97" s="28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4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35"/>
      <c r="BA97" s="17" t="s">
        <v>185</v>
      </c>
      <c r="BB97" s="3"/>
    </row>
    <row r="98" spans="1:54" ht="15.75" customHeight="1" thickBot="1" x14ac:dyDescent="0.3">
      <c r="A98" s="88" t="s">
        <v>186</v>
      </c>
      <c r="B98" s="82" t="s">
        <v>187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6"/>
      <c r="BA98" s="17" t="s">
        <v>20</v>
      </c>
      <c r="BB98" s="3"/>
    </row>
    <row r="99" spans="1:54" ht="15.75" customHeight="1" x14ac:dyDescent="0.25">
      <c r="A99" s="88" t="s">
        <v>188</v>
      </c>
      <c r="B99" s="19" t="s">
        <v>189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14"/>
      <c r="BA99" s="17" t="s">
        <v>190</v>
      </c>
      <c r="BB99" s="110" t="s">
        <v>191</v>
      </c>
    </row>
    <row r="100" spans="1:54" ht="15.75" customHeight="1" x14ac:dyDescent="0.25">
      <c r="A100" s="87"/>
      <c r="B100" s="19" t="s">
        <v>192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14"/>
      <c r="BA100" s="17"/>
      <c r="BB100" s="3"/>
    </row>
    <row r="101" spans="1:54" ht="15.75" customHeight="1" x14ac:dyDescent="0.25">
      <c r="A101" s="88" t="s">
        <v>193</v>
      </c>
      <c r="B101" s="19" t="s">
        <v>194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14"/>
      <c r="BA101" s="17" t="s">
        <v>195</v>
      </c>
      <c r="BB101" s="70" t="s">
        <v>350</v>
      </c>
    </row>
    <row r="102" spans="1:54" ht="15.75" customHeight="1" x14ac:dyDescent="0.25">
      <c r="A102" s="88" t="s">
        <v>196</v>
      </c>
      <c r="B102" s="17" t="s">
        <v>197</v>
      </c>
      <c r="X102" s="4"/>
      <c r="AD102" s="4"/>
      <c r="AG102" s="22"/>
      <c r="AZ102" s="14"/>
      <c r="BA102" s="17" t="s">
        <v>107</v>
      </c>
      <c r="BB102" s="3" t="s">
        <v>370</v>
      </c>
    </row>
    <row r="103" spans="1:54" ht="15.75" customHeight="1" x14ac:dyDescent="0.25">
      <c r="A103" s="88" t="s">
        <v>198</v>
      </c>
      <c r="B103" s="79" t="s">
        <v>199</v>
      </c>
      <c r="Y103" s="4"/>
      <c r="AZ103" s="14"/>
      <c r="BA103" s="17"/>
      <c r="BB103" s="3" t="s">
        <v>366</v>
      </c>
    </row>
    <row r="104" spans="1:54" ht="15.75" customHeight="1" x14ac:dyDescent="0.25">
      <c r="A104" s="88" t="s">
        <v>200</v>
      </c>
      <c r="B104" s="17" t="s">
        <v>201</v>
      </c>
      <c r="N104" s="4"/>
      <c r="W104" s="4"/>
      <c r="AV104" s="4"/>
      <c r="AZ104" s="14"/>
      <c r="BA104" s="17" t="s">
        <v>138</v>
      </c>
      <c r="BB104" s="3"/>
    </row>
    <row r="105" spans="1:54" ht="15.75" customHeight="1" thickBot="1" x14ac:dyDescent="0.3">
      <c r="A105" s="88" t="s">
        <v>202</v>
      </c>
      <c r="B105" s="83" t="s">
        <v>203</v>
      </c>
      <c r="C105" s="25"/>
      <c r="D105" s="25"/>
      <c r="E105" s="25"/>
      <c r="F105" s="25"/>
      <c r="G105" s="26"/>
      <c r="H105" s="25"/>
      <c r="I105" s="25"/>
      <c r="J105" s="25"/>
      <c r="K105" s="25"/>
      <c r="L105" s="25"/>
      <c r="M105" s="25"/>
      <c r="N105" s="25"/>
      <c r="O105" s="25"/>
      <c r="P105" s="26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16"/>
      <c r="BA105" s="17" t="s">
        <v>204</v>
      </c>
      <c r="BB105" s="3"/>
    </row>
    <row r="106" spans="1:54" ht="15.75" customHeight="1" x14ac:dyDescent="0.25">
      <c r="A106" s="88" t="s">
        <v>209</v>
      </c>
      <c r="B106" s="17" t="s">
        <v>210</v>
      </c>
      <c r="L106" s="22"/>
      <c r="U106" s="22"/>
      <c r="Z106" s="22"/>
      <c r="AB106" s="22"/>
      <c r="AE106" s="22"/>
      <c r="AG106" s="22"/>
      <c r="AL106" s="4"/>
      <c r="AO106" s="22"/>
      <c r="BA106" s="10" t="s">
        <v>107</v>
      </c>
      <c r="BB106" s="3" t="s">
        <v>375</v>
      </c>
    </row>
    <row r="107" spans="1:54" ht="15.75" customHeight="1" x14ac:dyDescent="0.25">
      <c r="A107" s="88" t="s">
        <v>211</v>
      </c>
      <c r="B107" s="17" t="s">
        <v>212</v>
      </c>
      <c r="X107" s="4"/>
      <c r="AU107" s="4"/>
      <c r="BA107" s="10" t="s">
        <v>138</v>
      </c>
      <c r="BB107" s="3"/>
    </row>
    <row r="108" spans="1:54" ht="15.75" customHeight="1" x14ac:dyDescent="0.25">
      <c r="A108" s="88" t="s">
        <v>213</v>
      </c>
      <c r="B108" s="17" t="s">
        <v>214</v>
      </c>
      <c r="Y108" s="4"/>
      <c r="BA108" s="10" t="s">
        <v>11</v>
      </c>
      <c r="BB108" s="3"/>
    </row>
    <row r="109" spans="1:54" ht="15.75" customHeight="1" x14ac:dyDescent="0.25">
      <c r="A109" s="88" t="s">
        <v>406</v>
      </c>
      <c r="B109" s="17" t="s">
        <v>407</v>
      </c>
      <c r="Y109" s="4"/>
      <c r="BA109" s="10"/>
      <c r="BB109" s="3"/>
    </row>
    <row r="110" spans="1:54" ht="15.75" customHeight="1" x14ac:dyDescent="0.25">
      <c r="A110" s="88" t="s">
        <v>223</v>
      </c>
      <c r="B110" s="17" t="s">
        <v>212</v>
      </c>
      <c r="Z110" s="4"/>
      <c r="AT110" s="4"/>
      <c r="BA110" s="10" t="s">
        <v>138</v>
      </c>
      <c r="BB110" s="3"/>
    </row>
    <row r="111" spans="1:54" ht="15.75" customHeight="1" x14ac:dyDescent="0.25">
      <c r="A111" s="88" t="s">
        <v>224</v>
      </c>
      <c r="B111" s="79" t="s">
        <v>199</v>
      </c>
      <c r="J111" s="4"/>
      <c r="S111" s="4"/>
      <c r="BA111" s="10"/>
      <c r="BB111" s="3" t="s">
        <v>366</v>
      </c>
    </row>
    <row r="112" spans="1:54" ht="15.75" customHeight="1" x14ac:dyDescent="0.25">
      <c r="A112" s="89" t="s">
        <v>225</v>
      </c>
      <c r="B112" s="17" t="s">
        <v>226</v>
      </c>
      <c r="AD112" s="4"/>
      <c r="AG112" s="22"/>
      <c r="AJ112" s="4"/>
      <c r="AK112" s="4"/>
      <c r="AV112" s="4"/>
      <c r="BA112" s="10" t="s">
        <v>256</v>
      </c>
      <c r="BB112" s="3" t="s">
        <v>377</v>
      </c>
    </row>
    <row r="113" spans="1:54" ht="15.75" customHeight="1" x14ac:dyDescent="0.25">
      <c r="A113" s="88" t="s">
        <v>227</v>
      </c>
      <c r="B113" s="111" t="s">
        <v>399</v>
      </c>
      <c r="AG113" s="22"/>
      <c r="AL113" s="4"/>
      <c r="AN113" s="4"/>
      <c r="AQ113" s="4"/>
      <c r="BA113" s="10" t="s">
        <v>256</v>
      </c>
    </row>
    <row r="114" spans="1:54" ht="15.75" customHeight="1" x14ac:dyDescent="0.25">
      <c r="A114" s="88" t="s">
        <v>218</v>
      </c>
      <c r="B114" s="17" t="s">
        <v>219</v>
      </c>
      <c r="X114" s="22"/>
      <c r="AB114" s="22"/>
      <c r="AG114" s="22"/>
      <c r="BA114" s="72" t="s">
        <v>36</v>
      </c>
      <c r="BB114" s="3" t="s">
        <v>323</v>
      </c>
    </row>
    <row r="115" spans="1:54" ht="15.75" customHeight="1" x14ac:dyDescent="0.25">
      <c r="A115" s="88" t="s">
        <v>228</v>
      </c>
      <c r="B115" s="17" t="s">
        <v>229</v>
      </c>
      <c r="BA115" s="10"/>
      <c r="BB115" s="3"/>
    </row>
    <row r="116" spans="1:54" ht="15.75" customHeight="1" x14ac:dyDescent="0.25">
      <c r="A116" s="88" t="s">
        <v>230</v>
      </c>
      <c r="B116" s="79" t="s">
        <v>199</v>
      </c>
      <c r="L116" s="4"/>
      <c r="U116" s="4"/>
      <c r="BA116" s="10"/>
      <c r="BB116" s="3" t="s">
        <v>366</v>
      </c>
    </row>
    <row r="117" spans="1:54" ht="15.75" customHeight="1" x14ac:dyDescent="0.25">
      <c r="A117" s="88" t="s">
        <v>231</v>
      </c>
      <c r="B117" s="17" t="s">
        <v>212</v>
      </c>
      <c r="AA117" s="4"/>
      <c r="AF117" s="4"/>
      <c r="AG117" s="4"/>
      <c r="AO117" s="4"/>
      <c r="AS117" s="4"/>
      <c r="BA117" s="10" t="s">
        <v>138</v>
      </c>
      <c r="BB117" s="3"/>
    </row>
    <row r="118" spans="1:54" ht="15.75" customHeight="1" x14ac:dyDescent="0.25">
      <c r="A118" s="88" t="s">
        <v>215</v>
      </c>
      <c r="B118" s="17" t="s">
        <v>216</v>
      </c>
      <c r="AC118" s="4"/>
      <c r="AM118" s="4"/>
      <c r="AN118" s="4"/>
      <c r="BA118" s="10" t="s">
        <v>217</v>
      </c>
      <c r="BB118" s="3"/>
    </row>
    <row r="119" spans="1:54" ht="15.75" customHeight="1" x14ac:dyDescent="0.25">
      <c r="A119" s="88" t="s">
        <v>232</v>
      </c>
      <c r="B119" s="17" t="s">
        <v>233</v>
      </c>
      <c r="BA119" s="10"/>
      <c r="BB119" s="3"/>
    </row>
    <row r="120" spans="1:54" ht="15.75" customHeight="1" x14ac:dyDescent="0.25">
      <c r="A120" s="88" t="s">
        <v>234</v>
      </c>
      <c r="B120" s="17" t="s">
        <v>235</v>
      </c>
      <c r="BA120" s="10"/>
      <c r="BB120" s="3"/>
    </row>
    <row r="121" spans="1:54" ht="15.75" customHeight="1" x14ac:dyDescent="0.25">
      <c r="A121" s="88" t="s">
        <v>236</v>
      </c>
      <c r="B121" s="17" t="s">
        <v>212</v>
      </c>
      <c r="AD121" s="4"/>
      <c r="AR121" s="4"/>
      <c r="BA121" s="10" t="s">
        <v>138</v>
      </c>
      <c r="BB121" s="3"/>
    </row>
    <row r="122" spans="1:54" ht="15.75" customHeight="1" x14ac:dyDescent="0.25">
      <c r="A122" s="88" t="s">
        <v>237</v>
      </c>
      <c r="B122" s="17" t="s">
        <v>238</v>
      </c>
      <c r="J122" s="4"/>
      <c r="M122" s="4"/>
      <c r="S122" s="4"/>
      <c r="V122" s="4"/>
      <c r="AC122" s="4"/>
      <c r="BA122" s="10" t="s">
        <v>195</v>
      </c>
      <c r="BB122" s="70" t="s">
        <v>350</v>
      </c>
    </row>
    <row r="123" spans="1:54" ht="15.75" customHeight="1" x14ac:dyDescent="0.25">
      <c r="A123" s="88" t="s">
        <v>239</v>
      </c>
      <c r="B123" s="79" t="s">
        <v>199</v>
      </c>
      <c r="AC123" s="4"/>
      <c r="AI123" s="4"/>
      <c r="AR123" s="4"/>
      <c r="BA123" s="18"/>
      <c r="BB123" s="3"/>
    </row>
    <row r="124" spans="1:54" ht="15.75" customHeight="1" x14ac:dyDescent="0.25">
      <c r="A124" s="89" t="s">
        <v>240</v>
      </c>
      <c r="B124" s="123" t="s">
        <v>241</v>
      </c>
      <c r="AI124" s="4"/>
      <c r="AR124" s="4"/>
      <c r="BA124" s="18" t="s">
        <v>379</v>
      </c>
      <c r="BB124" s="3" t="s">
        <v>378</v>
      </c>
    </row>
    <row r="125" spans="1:54" ht="15.75" customHeight="1" x14ac:dyDescent="0.25">
      <c r="B125" s="17" t="s">
        <v>221</v>
      </c>
      <c r="C125" s="29" t="str">
        <f>IF(C43="","",C43)</f>
        <v/>
      </c>
      <c r="D125" t="str">
        <f>IF(D43="","",D43)</f>
        <v/>
      </c>
      <c r="E125" t="str">
        <f>IF(E43="","",E43)</f>
        <v/>
      </c>
      <c r="F125" t="str">
        <f>IF(F43="","",F43)</f>
        <v/>
      </c>
      <c r="G125" t="str">
        <f>IF(G43="","",G43)</f>
        <v/>
      </c>
      <c r="H125" s="4" t="str">
        <f>IF(H43="","",H43)</f>
        <v/>
      </c>
      <c r="I125" t="str">
        <f>IF(I43="","",I43)</f>
        <v/>
      </c>
      <c r="J125" t="str">
        <f>IF(J43="","",J43)</f>
        <v/>
      </c>
      <c r="K125" t="str">
        <f>IF(K43="","",K43)</f>
        <v/>
      </c>
      <c r="L125" t="str">
        <f>IF(L43="","",L43)</f>
        <v/>
      </c>
      <c r="M125" s="22" t="str">
        <f>IF(M43="","",M43)</f>
        <v/>
      </c>
      <c r="N125" t="str">
        <f>IF(N43="","",N43)</f>
        <v/>
      </c>
      <c r="O125" t="str">
        <f>IF(O43="","",O43)</f>
        <v/>
      </c>
      <c r="P125" t="str">
        <f>IF(P43="","",P43)</f>
        <v/>
      </c>
      <c r="Q125" s="4" t="str">
        <f>IF(Q43="","",Q43)</f>
        <v/>
      </c>
      <c r="R125" t="str">
        <f>IF(R43="","",R43)</f>
        <v/>
      </c>
      <c r="S125" t="str">
        <f>IF(S43="","",S43)</f>
        <v/>
      </c>
      <c r="T125" t="str">
        <f>IF(T43="","",T43)</f>
        <v/>
      </c>
      <c r="U125" t="str">
        <f>IF(U43="","",U43)</f>
        <v/>
      </c>
      <c r="V125" s="22" t="str">
        <f>IF(V43="","",V43)</f>
        <v/>
      </c>
      <c r="W125" t="str">
        <f>IF(W43="","",W43)</f>
        <v/>
      </c>
      <c r="X125" t="str">
        <f>IF(X43="","",X43)</f>
        <v/>
      </c>
      <c r="Y125" t="str">
        <f>IF(Y43="","",Y43)</f>
        <v/>
      </c>
      <c r="Z125" s="22" t="str">
        <f>IF(Z43="","",Z43)</f>
        <v/>
      </c>
      <c r="AA125" t="str">
        <f>IF(AA43="","",AA43)</f>
        <v/>
      </c>
      <c r="AB125" s="22" t="str">
        <f>IF(AB43="","",AB43)</f>
        <v/>
      </c>
      <c r="AC125" t="str">
        <f>IF(AC43="","",AC43)</f>
        <v/>
      </c>
      <c r="AD125" t="str">
        <f>IF(AD43="","",AD43)</f>
        <v/>
      </c>
      <c r="AE125" s="22" t="str">
        <f>IF(AE43="","",AE43)</f>
        <v/>
      </c>
      <c r="AF125" t="str">
        <f>IF(AF43="","",AF43)</f>
        <v/>
      </c>
      <c r="AG125" s="4" t="str">
        <f>IF(AG43="","",AG43)</f>
        <v/>
      </c>
      <c r="AH125" t="str">
        <f>IF(AH43="","",AH43)</f>
        <v/>
      </c>
      <c r="AI125" t="str">
        <f>IF(AI43="","",AI43)</f>
        <v/>
      </c>
      <c r="AJ125" s="4" t="str">
        <f>IF(AJ43="","",AJ43)</f>
        <v/>
      </c>
      <c r="AK125" s="4" t="str">
        <f>IF(AK43="","",AK43)</f>
        <v/>
      </c>
      <c r="AL125" s="4" t="str">
        <f>IF(AL43="","",AL43)</f>
        <v/>
      </c>
      <c r="AM125" t="str">
        <f>IF(AM43="","",AM43)</f>
        <v/>
      </c>
      <c r="AN125" s="4" t="str">
        <f>IF(AN43="","",AN43)</f>
        <v/>
      </c>
      <c r="AO125" s="22" t="str">
        <f>IF(AO43="","",AO43)</f>
        <v/>
      </c>
      <c r="AP125" t="str">
        <f>IF(AP43="","",AP43)</f>
        <v/>
      </c>
      <c r="AQ125" t="str">
        <f>IF(AQ43="","",AQ43)</f>
        <v/>
      </c>
      <c r="AR125" t="str">
        <f>IF(AR43="","",AR43)</f>
        <v/>
      </c>
      <c r="AS125" t="str">
        <f>IF(AS43="","",AS43)</f>
        <v/>
      </c>
      <c r="AT125" t="str">
        <f>IF(AT43="","",AT43)</f>
        <v/>
      </c>
      <c r="AU125" t="str">
        <f>IF(AU43="","",AU43)</f>
        <v/>
      </c>
      <c r="AV125" t="str">
        <f>IF(AV43="","",AV43)</f>
        <v/>
      </c>
      <c r="AW125" t="str">
        <f>IF(AW43="","",AW43)</f>
        <v/>
      </c>
      <c r="AX125" t="str">
        <f>IF(AX43="","",AX43)</f>
        <v/>
      </c>
      <c r="AY125" t="str">
        <f>IF(AY43="","",AY43)</f>
        <v/>
      </c>
      <c r="AZ125" t="str">
        <f>IF(AZ43="","",AZ43)</f>
        <v/>
      </c>
      <c r="BA125" s="106" t="s">
        <v>395</v>
      </c>
      <c r="BB125" s="71" t="s">
        <v>394</v>
      </c>
    </row>
    <row r="126" spans="1:54" ht="15.75" customHeight="1" x14ac:dyDescent="0.25">
      <c r="A126" s="88" t="s">
        <v>245</v>
      </c>
      <c r="B126" s="61" t="s">
        <v>212</v>
      </c>
      <c r="AB126" s="4"/>
      <c r="AC126" s="4"/>
      <c r="AQ126" s="4"/>
      <c r="BA126" s="38" t="s">
        <v>138</v>
      </c>
      <c r="BB126" s="39"/>
    </row>
    <row r="127" spans="1:54" ht="15.75" customHeight="1" x14ac:dyDescent="0.25">
      <c r="A127" s="88" t="s">
        <v>242</v>
      </c>
      <c r="B127" s="17" t="s">
        <v>243</v>
      </c>
      <c r="C127" t="str">
        <f>IF(C125="","",C125)</f>
        <v/>
      </c>
      <c r="D127" t="str">
        <f>IF(D125="","",D125)</f>
        <v/>
      </c>
      <c r="E127" t="str">
        <f>IF(E125="","",E125)</f>
        <v/>
      </c>
      <c r="F127" t="str">
        <f>IF(F125="","",F125)</f>
        <v/>
      </c>
      <c r="G127" t="str">
        <f>IF(G125="","",G125)</f>
        <v/>
      </c>
      <c r="H127" t="str">
        <f>IF(H125="","",H125)</f>
        <v/>
      </c>
      <c r="I127" t="str">
        <f>IF(I125="","",I125)</f>
        <v/>
      </c>
      <c r="J127" t="str">
        <f>IF(J125="","",J125)</f>
        <v/>
      </c>
      <c r="K127" t="str">
        <f>IF(K125="","",K125)</f>
        <v/>
      </c>
      <c r="L127" t="str">
        <f>IF(L125="","",L125)</f>
        <v/>
      </c>
      <c r="M127" t="str">
        <f>IF(M125="","",M125)</f>
        <v/>
      </c>
      <c r="N127" t="str">
        <f>IF(N125="","",N125)</f>
        <v/>
      </c>
      <c r="O127" t="str">
        <f>IF(O125="","",O125)</f>
        <v/>
      </c>
      <c r="P127" t="str">
        <f>IF(P125="","",P125)</f>
        <v/>
      </c>
      <c r="Q127" t="str">
        <f>IF(Q125="","",Q125)</f>
        <v/>
      </c>
      <c r="R127" t="str">
        <f>IF(R125="","",R125)</f>
        <v/>
      </c>
      <c r="S127" t="str">
        <f>IF(S125="","",S125)</f>
        <v/>
      </c>
      <c r="T127" t="str">
        <f>IF(T125="","",T125)</f>
        <v/>
      </c>
      <c r="U127" t="str">
        <f>IF(U125="","",U125)</f>
        <v/>
      </c>
      <c r="V127" t="str">
        <f>IF(V125="","",V125)</f>
        <v/>
      </c>
      <c r="W127" t="str">
        <f>IF(W125="","",W125)</f>
        <v/>
      </c>
      <c r="X127" t="str">
        <f>IF(X125="","",X125)</f>
        <v/>
      </c>
      <c r="Y127" t="str">
        <f>IF(Y125="","",Y125)</f>
        <v/>
      </c>
      <c r="Z127" t="str">
        <f>IF(Z125="","",Z125)</f>
        <v/>
      </c>
      <c r="AA127" t="str">
        <f>IF(AA125="","",AA125)</f>
        <v/>
      </c>
      <c r="AB127" t="str">
        <f>IF(AB125="","",AB125)</f>
        <v/>
      </c>
      <c r="AC127" t="str">
        <f>IF(AC125="","",AC125)</f>
        <v/>
      </c>
      <c r="AD127" t="str">
        <f>IF(AD125="","",AD125)</f>
        <v/>
      </c>
      <c r="AE127" t="str">
        <f>IF(AE125="","",AE125)</f>
        <v/>
      </c>
      <c r="AF127" t="str">
        <f>IF(AF125="","",AF125)</f>
        <v/>
      </c>
      <c r="AG127" t="str">
        <f>IF(AG125="","",AG125)</f>
        <v/>
      </c>
      <c r="AH127" t="str">
        <f>IF(AH125="","",AH125)</f>
        <v/>
      </c>
      <c r="AI127" t="str">
        <f>IF(AI125="","",AI125)</f>
        <v/>
      </c>
      <c r="AJ127" t="str">
        <f>IF(AJ125="","",AJ125)</f>
        <v/>
      </c>
      <c r="AK127" t="str">
        <f>IF(AK125="","",AK125)</f>
        <v/>
      </c>
      <c r="AL127" t="str">
        <f>IF(AL125="","",AL125)</f>
        <v/>
      </c>
      <c r="AM127" t="str">
        <f>IF(AM125="","",AM125)</f>
        <v/>
      </c>
      <c r="AN127" t="str">
        <f>IF(AN125="","",AN125)</f>
        <v/>
      </c>
      <c r="AO127" t="str">
        <f>IF(AO125="","",AO125)</f>
        <v/>
      </c>
      <c r="AP127" t="str">
        <f>IF(AP125="","",AP125)</f>
        <v/>
      </c>
      <c r="AQ127" t="str">
        <f>IF(AQ125="","",AQ125)</f>
        <v/>
      </c>
      <c r="AR127" t="str">
        <f>IF(AR125="","",AR125)</f>
        <v/>
      </c>
      <c r="AS127" t="str">
        <f>IF(AS125="","",AS125)</f>
        <v/>
      </c>
      <c r="AT127" t="str">
        <f>IF(AT125="","",AT125)</f>
        <v/>
      </c>
      <c r="AU127" t="str">
        <f>IF(AU125="","",AU125)</f>
        <v/>
      </c>
      <c r="AV127" t="str">
        <f>IF(AV125="","",AV125)</f>
        <v/>
      </c>
      <c r="AW127" t="str">
        <f>IF(AW125="","",AW125)</f>
        <v/>
      </c>
      <c r="AX127" t="str">
        <f>IF(AX125="","",AX125)</f>
        <v/>
      </c>
      <c r="AY127" t="str">
        <f>IF(AY125="","",AY125)</f>
        <v/>
      </c>
      <c r="AZ127" t="str">
        <f>IF(AZ125="","",AZ125)</f>
        <v/>
      </c>
      <c r="BA127" s="107" t="s">
        <v>244</v>
      </c>
      <c r="BB127" s="40" t="s">
        <v>324</v>
      </c>
    </row>
    <row r="128" spans="1:54" ht="15.75" customHeight="1" x14ac:dyDescent="0.25">
      <c r="A128" s="88" t="s">
        <v>301</v>
      </c>
      <c r="B128" s="17" t="s">
        <v>302</v>
      </c>
      <c r="C128" s="4"/>
      <c r="E128" s="4"/>
      <c r="H128" s="4"/>
      <c r="L128" s="22"/>
      <c r="Q128" s="4"/>
      <c r="U128" s="22"/>
      <c r="AB128" s="22"/>
      <c r="AC128" s="4"/>
      <c r="AO128" s="22"/>
      <c r="BA128" s="10" t="s">
        <v>303</v>
      </c>
      <c r="BB128" s="3"/>
    </row>
    <row r="129" spans="1:54" ht="15.75" customHeight="1" thickBot="1" x14ac:dyDescent="0.3">
      <c r="A129" s="88" t="s">
        <v>304</v>
      </c>
      <c r="B129" s="17" t="s">
        <v>305</v>
      </c>
      <c r="L129" s="23"/>
      <c r="U129" s="23"/>
      <c r="AB129" s="23"/>
      <c r="AO129" s="23"/>
      <c r="AR129" s="4"/>
      <c r="AT129" s="4"/>
      <c r="BA129" s="10" t="s">
        <v>259</v>
      </c>
      <c r="BB129" s="3"/>
    </row>
    <row r="130" spans="1:54" ht="15.75" customHeight="1" x14ac:dyDescent="0.25">
      <c r="A130" s="100" t="s">
        <v>246</v>
      </c>
      <c r="B130" s="114" t="s">
        <v>69</v>
      </c>
      <c r="C130" s="41" t="str">
        <f>IF(C36="L","L","")</f>
        <v/>
      </c>
      <c r="D130" s="41" t="str">
        <f t="shared" ref="D130:AO130" si="8">IF(D36="L","L","")</f>
        <v/>
      </c>
      <c r="E130" s="41" t="str">
        <f t="shared" si="8"/>
        <v/>
      </c>
      <c r="F130" s="41" t="str">
        <f t="shared" si="8"/>
        <v/>
      </c>
      <c r="G130" s="41" t="str">
        <f t="shared" si="8"/>
        <v/>
      </c>
      <c r="H130" s="41" t="str">
        <f t="shared" si="8"/>
        <v/>
      </c>
      <c r="I130" s="41" t="str">
        <f t="shared" si="8"/>
        <v/>
      </c>
      <c r="J130" s="41" t="str">
        <f t="shared" si="8"/>
        <v/>
      </c>
      <c r="K130" s="41" t="str">
        <f t="shared" si="8"/>
        <v/>
      </c>
      <c r="L130" s="41" t="str">
        <f t="shared" si="8"/>
        <v/>
      </c>
      <c r="M130" s="41" t="str">
        <f t="shared" si="8"/>
        <v/>
      </c>
      <c r="N130" s="41" t="str">
        <f t="shared" si="8"/>
        <v/>
      </c>
      <c r="O130" s="41" t="str">
        <f t="shared" si="8"/>
        <v/>
      </c>
      <c r="P130" s="41" t="str">
        <f t="shared" si="8"/>
        <v/>
      </c>
      <c r="Q130" s="41" t="str">
        <f t="shared" si="8"/>
        <v/>
      </c>
      <c r="R130" s="41" t="str">
        <f t="shared" si="8"/>
        <v/>
      </c>
      <c r="S130" s="41" t="str">
        <f t="shared" si="8"/>
        <v/>
      </c>
      <c r="T130" s="41" t="str">
        <f t="shared" si="8"/>
        <v/>
      </c>
      <c r="U130" s="41" t="str">
        <f t="shared" si="8"/>
        <v/>
      </c>
      <c r="V130" s="41" t="str">
        <f t="shared" si="8"/>
        <v/>
      </c>
      <c r="W130" s="41" t="str">
        <f t="shared" si="8"/>
        <v/>
      </c>
      <c r="X130" s="41" t="str">
        <f t="shared" si="8"/>
        <v/>
      </c>
      <c r="Y130" s="41" t="str">
        <f t="shared" si="8"/>
        <v/>
      </c>
      <c r="Z130" s="41" t="str">
        <f t="shared" si="8"/>
        <v/>
      </c>
      <c r="AA130" s="41" t="str">
        <f t="shared" si="8"/>
        <v/>
      </c>
      <c r="AB130" s="41" t="str">
        <f t="shared" si="8"/>
        <v/>
      </c>
      <c r="AC130" s="41" t="str">
        <f t="shared" si="8"/>
        <v/>
      </c>
      <c r="AD130" s="41" t="str">
        <f t="shared" si="8"/>
        <v/>
      </c>
      <c r="AE130" s="41" t="str">
        <f t="shared" si="8"/>
        <v/>
      </c>
      <c r="AF130" s="41" t="str">
        <f t="shared" si="8"/>
        <v/>
      </c>
      <c r="AG130" s="41" t="str">
        <f t="shared" si="8"/>
        <v/>
      </c>
      <c r="AH130" s="41" t="str">
        <f t="shared" si="8"/>
        <v/>
      </c>
      <c r="AI130" s="41" t="str">
        <f t="shared" si="8"/>
        <v/>
      </c>
      <c r="AJ130" s="41" t="str">
        <f t="shared" si="8"/>
        <v/>
      </c>
      <c r="AK130" s="41" t="str">
        <f t="shared" si="8"/>
        <v/>
      </c>
      <c r="AL130" s="41" t="str">
        <f t="shared" si="8"/>
        <v/>
      </c>
      <c r="AM130" s="41" t="str">
        <f t="shared" si="8"/>
        <v/>
      </c>
      <c r="AN130" s="41" t="str">
        <f t="shared" si="8"/>
        <v/>
      </c>
      <c r="AO130" s="41" t="str">
        <f t="shared" si="8"/>
        <v/>
      </c>
      <c r="AP130" s="41" t="str">
        <f t="shared" ref="AP130:AZ130" si="9">IF(AP36="","",AP36)</f>
        <v/>
      </c>
      <c r="AQ130" s="41" t="str">
        <f t="shared" si="9"/>
        <v/>
      </c>
      <c r="AR130" s="41" t="str">
        <f t="shared" si="9"/>
        <v/>
      </c>
      <c r="AS130" s="41" t="str">
        <f t="shared" si="9"/>
        <v/>
      </c>
      <c r="AT130" s="41" t="str">
        <f t="shared" si="9"/>
        <v/>
      </c>
      <c r="AU130" s="41" t="str">
        <f t="shared" si="9"/>
        <v/>
      </c>
      <c r="AV130" s="41" t="str">
        <f t="shared" si="9"/>
        <v/>
      </c>
      <c r="AW130" s="41" t="str">
        <f t="shared" si="9"/>
        <v/>
      </c>
      <c r="AX130" s="41" t="str">
        <f t="shared" si="9"/>
        <v/>
      </c>
      <c r="AY130" s="41" t="str">
        <f t="shared" si="9"/>
        <v/>
      </c>
      <c r="AZ130" s="96" t="str">
        <f t="shared" si="9"/>
        <v/>
      </c>
      <c r="BA130" s="84" t="s">
        <v>325</v>
      </c>
      <c r="BB130" s="39" t="s">
        <v>326</v>
      </c>
    </row>
    <row r="131" spans="1:54" ht="15.75" customHeight="1" x14ac:dyDescent="0.25">
      <c r="A131" s="100" t="s">
        <v>247</v>
      </c>
      <c r="B131" s="34" t="s">
        <v>248</v>
      </c>
      <c r="C131" s="29" t="str">
        <f>IF(C36="","","#")</f>
        <v/>
      </c>
      <c r="D131" s="29" t="str">
        <f t="shared" ref="D131:AZ131" si="10">IF(D36="","","#")</f>
        <v/>
      </c>
      <c r="E131" s="29" t="str">
        <f t="shared" si="10"/>
        <v/>
      </c>
      <c r="F131" s="29" t="str">
        <f t="shared" si="10"/>
        <v/>
      </c>
      <c r="G131" s="29" t="str">
        <f t="shared" si="10"/>
        <v/>
      </c>
      <c r="H131" s="29" t="str">
        <f t="shared" si="10"/>
        <v/>
      </c>
      <c r="I131" s="29" t="str">
        <f t="shared" si="10"/>
        <v/>
      </c>
      <c r="J131" s="29" t="str">
        <f t="shared" si="10"/>
        <v/>
      </c>
      <c r="K131" s="29" t="str">
        <f t="shared" si="10"/>
        <v/>
      </c>
      <c r="L131" s="29" t="str">
        <f t="shared" si="10"/>
        <v/>
      </c>
      <c r="M131" s="29" t="str">
        <f t="shared" si="10"/>
        <v/>
      </c>
      <c r="N131" s="29" t="str">
        <f t="shared" si="10"/>
        <v/>
      </c>
      <c r="O131" s="29" t="str">
        <f t="shared" si="10"/>
        <v/>
      </c>
      <c r="P131" s="29" t="str">
        <f t="shared" si="10"/>
        <v/>
      </c>
      <c r="Q131" s="29" t="str">
        <f t="shared" si="10"/>
        <v/>
      </c>
      <c r="R131" s="29" t="str">
        <f t="shared" si="10"/>
        <v/>
      </c>
      <c r="S131" s="29" t="str">
        <f t="shared" si="10"/>
        <v/>
      </c>
      <c r="T131" s="29" t="str">
        <f t="shared" si="10"/>
        <v/>
      </c>
      <c r="U131" s="29" t="str">
        <f t="shared" si="10"/>
        <v/>
      </c>
      <c r="V131" s="29" t="str">
        <f t="shared" si="10"/>
        <v/>
      </c>
      <c r="W131" s="29" t="str">
        <f t="shared" si="10"/>
        <v/>
      </c>
      <c r="X131" s="29" t="str">
        <f t="shared" si="10"/>
        <v/>
      </c>
      <c r="Y131" s="29" t="str">
        <f t="shared" si="10"/>
        <v/>
      </c>
      <c r="Z131" s="29" t="str">
        <f t="shared" si="10"/>
        <v/>
      </c>
      <c r="AA131" s="29" t="str">
        <f t="shared" si="10"/>
        <v/>
      </c>
      <c r="AB131" s="29" t="str">
        <f t="shared" si="10"/>
        <v/>
      </c>
      <c r="AC131" s="29" t="str">
        <f t="shared" si="10"/>
        <v/>
      </c>
      <c r="AD131" s="29" t="str">
        <f t="shared" si="10"/>
        <v/>
      </c>
      <c r="AE131" s="29" t="str">
        <f t="shared" si="10"/>
        <v/>
      </c>
      <c r="AF131" s="29" t="str">
        <f t="shared" si="10"/>
        <v/>
      </c>
      <c r="AG131" s="29" t="str">
        <f t="shared" si="10"/>
        <v/>
      </c>
      <c r="AH131" s="29" t="str">
        <f t="shared" si="10"/>
        <v/>
      </c>
      <c r="AI131" s="29" t="str">
        <f t="shared" si="10"/>
        <v/>
      </c>
      <c r="AJ131" s="29" t="str">
        <f t="shared" si="10"/>
        <v/>
      </c>
      <c r="AK131" s="29" t="str">
        <f t="shared" si="10"/>
        <v/>
      </c>
      <c r="AL131" s="29" t="str">
        <f t="shared" si="10"/>
        <v/>
      </c>
      <c r="AM131" s="29" t="str">
        <f t="shared" si="10"/>
        <v/>
      </c>
      <c r="AN131" s="29" t="str">
        <f t="shared" si="10"/>
        <v/>
      </c>
      <c r="AO131" s="29" t="str">
        <f t="shared" si="10"/>
        <v/>
      </c>
      <c r="AP131" s="29" t="str">
        <f t="shared" si="10"/>
        <v/>
      </c>
      <c r="AQ131" s="29" t="str">
        <f t="shared" si="10"/>
        <v/>
      </c>
      <c r="AR131" s="29" t="str">
        <f t="shared" si="10"/>
        <v/>
      </c>
      <c r="AS131" s="29" t="str">
        <f t="shared" si="10"/>
        <v/>
      </c>
      <c r="AT131" s="29" t="str">
        <f t="shared" si="10"/>
        <v/>
      </c>
      <c r="AU131" s="29" t="str">
        <f t="shared" si="10"/>
        <v/>
      </c>
      <c r="AV131" s="29" t="str">
        <f t="shared" si="10"/>
        <v/>
      </c>
      <c r="AW131" s="29" t="str">
        <f t="shared" si="10"/>
        <v/>
      </c>
      <c r="AX131" s="29" t="str">
        <f t="shared" si="10"/>
        <v/>
      </c>
      <c r="AY131" s="29" t="str">
        <f t="shared" si="10"/>
        <v/>
      </c>
      <c r="AZ131" s="97" t="str">
        <f t="shared" si="10"/>
        <v/>
      </c>
      <c r="BA131" s="17" t="s">
        <v>31</v>
      </c>
      <c r="BB131" s="3" t="s">
        <v>336</v>
      </c>
    </row>
    <row r="132" spans="1:54" ht="15.75" customHeight="1" x14ac:dyDescent="0.25">
      <c r="A132" s="100" t="s">
        <v>249</v>
      </c>
      <c r="B132" s="34" t="s">
        <v>250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35"/>
      <c r="BA132" s="17" t="s">
        <v>251</v>
      </c>
      <c r="BB132" s="3"/>
    </row>
    <row r="133" spans="1:54" ht="15.75" customHeight="1" x14ac:dyDescent="0.25">
      <c r="A133" s="100" t="s">
        <v>252</v>
      </c>
      <c r="B133" s="34" t="s">
        <v>172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8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35"/>
      <c r="BA133" s="17" t="s">
        <v>20</v>
      </c>
      <c r="BB133" s="3" t="s">
        <v>381</v>
      </c>
    </row>
    <row r="134" spans="1:54" ht="15.75" customHeight="1" x14ac:dyDescent="0.25">
      <c r="A134" s="100" t="s">
        <v>253</v>
      </c>
      <c r="B134" s="34" t="s">
        <v>174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8"/>
      <c r="AU134" s="29"/>
      <c r="AV134" s="29"/>
      <c r="AW134" s="29"/>
      <c r="AX134" s="29"/>
      <c r="AY134" s="29"/>
      <c r="AZ134" s="35"/>
      <c r="BA134" s="17" t="s">
        <v>82</v>
      </c>
      <c r="BB134" s="3"/>
    </row>
    <row r="135" spans="1:54" ht="15.75" customHeight="1" x14ac:dyDescent="0.25">
      <c r="A135" s="100" t="s">
        <v>254</v>
      </c>
      <c r="B135" s="34" t="s">
        <v>255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8"/>
      <c r="AG135" s="29"/>
      <c r="AH135" s="28"/>
      <c r="AI135" s="28"/>
      <c r="AJ135" s="29"/>
      <c r="AK135" s="29"/>
      <c r="AL135" s="29"/>
      <c r="AM135" s="29"/>
      <c r="AN135" s="28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35"/>
      <c r="BA135" s="17" t="s">
        <v>256</v>
      </c>
      <c r="BB135" s="3"/>
    </row>
    <row r="136" spans="1:54" ht="15.75" customHeight="1" x14ac:dyDescent="0.25">
      <c r="A136" s="100" t="s">
        <v>257</v>
      </c>
      <c r="B136" s="44" t="s">
        <v>258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8"/>
      <c r="AW136" s="29"/>
      <c r="AX136" s="29"/>
      <c r="AY136" s="28"/>
      <c r="AZ136" s="35"/>
      <c r="BA136" s="17" t="s">
        <v>259</v>
      </c>
      <c r="BB136" s="3"/>
    </row>
    <row r="137" spans="1:54" ht="15.75" customHeight="1" x14ac:dyDescent="0.25">
      <c r="A137" s="100" t="s">
        <v>260</v>
      </c>
      <c r="B137" s="118" t="s">
        <v>261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8"/>
      <c r="Y137" s="29"/>
      <c r="Z137" s="29"/>
      <c r="AA137" s="29"/>
      <c r="AB137" s="29"/>
      <c r="AC137" s="28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35"/>
      <c r="BA137" s="61" t="s">
        <v>262</v>
      </c>
      <c r="BB137" s="3"/>
    </row>
    <row r="138" spans="1:54" ht="15.75" customHeight="1" thickBot="1" x14ac:dyDescent="0.3">
      <c r="A138" s="100"/>
      <c r="B138" s="117" t="s">
        <v>182</v>
      </c>
      <c r="C138" s="30" t="str">
        <f>IF(C44="","",C44)</f>
        <v/>
      </c>
      <c r="D138" s="30" t="str">
        <f t="shared" ref="D138:AZ138" si="11">IF(D44="","",D44)</f>
        <v/>
      </c>
      <c r="E138" s="30" t="str">
        <f t="shared" si="11"/>
        <v/>
      </c>
      <c r="F138" s="30" t="str">
        <f t="shared" si="11"/>
        <v/>
      </c>
      <c r="G138" s="30" t="str">
        <f t="shared" si="11"/>
        <v/>
      </c>
      <c r="H138" s="30" t="str">
        <f t="shared" si="11"/>
        <v/>
      </c>
      <c r="I138" s="30" t="str">
        <f t="shared" si="11"/>
        <v/>
      </c>
      <c r="J138" s="30" t="str">
        <f t="shared" si="11"/>
        <v/>
      </c>
      <c r="K138" s="30" t="str">
        <f t="shared" si="11"/>
        <v/>
      </c>
      <c r="L138" s="30" t="str">
        <f t="shared" si="11"/>
        <v/>
      </c>
      <c r="M138" s="30" t="str">
        <f t="shared" si="11"/>
        <v/>
      </c>
      <c r="N138" s="30" t="str">
        <f t="shared" si="11"/>
        <v/>
      </c>
      <c r="O138" s="30" t="str">
        <f t="shared" si="11"/>
        <v/>
      </c>
      <c r="P138" s="30" t="str">
        <f t="shared" si="11"/>
        <v/>
      </c>
      <c r="Q138" s="30" t="str">
        <f t="shared" si="11"/>
        <v/>
      </c>
      <c r="R138" s="30" t="str">
        <f t="shared" si="11"/>
        <v/>
      </c>
      <c r="S138" s="30" t="str">
        <f t="shared" si="11"/>
        <v/>
      </c>
      <c r="T138" s="30" t="str">
        <f t="shared" si="11"/>
        <v/>
      </c>
      <c r="U138" s="30" t="str">
        <f t="shared" si="11"/>
        <v/>
      </c>
      <c r="V138" s="30" t="str">
        <f t="shared" si="11"/>
        <v/>
      </c>
      <c r="W138" s="30" t="str">
        <f t="shared" si="11"/>
        <v/>
      </c>
      <c r="X138" s="31" t="str">
        <f t="shared" si="11"/>
        <v/>
      </c>
      <c r="Y138" s="30" t="str">
        <f t="shared" si="11"/>
        <v/>
      </c>
      <c r="Z138" s="30" t="str">
        <f t="shared" si="11"/>
        <v/>
      </c>
      <c r="AA138" s="30" t="str">
        <f t="shared" si="11"/>
        <v/>
      </c>
      <c r="AB138" s="30" t="str">
        <f t="shared" si="11"/>
        <v/>
      </c>
      <c r="AC138" s="31" t="str">
        <f t="shared" si="11"/>
        <v/>
      </c>
      <c r="AD138" s="30" t="str">
        <f t="shared" si="11"/>
        <v/>
      </c>
      <c r="AE138" s="30" t="str">
        <f t="shared" si="11"/>
        <v/>
      </c>
      <c r="AF138" s="30" t="str">
        <f t="shared" si="11"/>
        <v/>
      </c>
      <c r="AG138" s="30" t="str">
        <f t="shared" si="11"/>
        <v/>
      </c>
      <c r="AH138" s="30" t="str">
        <f t="shared" si="11"/>
        <v/>
      </c>
      <c r="AI138" s="30" t="str">
        <f t="shared" si="11"/>
        <v/>
      </c>
      <c r="AJ138" s="30" t="str">
        <f t="shared" si="11"/>
        <v/>
      </c>
      <c r="AK138" s="30" t="str">
        <f t="shared" si="11"/>
        <v/>
      </c>
      <c r="AL138" s="30" t="str">
        <f t="shared" si="11"/>
        <v/>
      </c>
      <c r="AM138" s="30" t="str">
        <f t="shared" si="11"/>
        <v/>
      </c>
      <c r="AN138" s="30" t="str">
        <f t="shared" si="11"/>
        <v/>
      </c>
      <c r="AO138" s="30" t="str">
        <f t="shared" si="11"/>
        <v/>
      </c>
      <c r="AP138" s="30" t="str">
        <f t="shared" si="11"/>
        <v/>
      </c>
      <c r="AQ138" s="30" t="str">
        <f t="shared" si="11"/>
        <v/>
      </c>
      <c r="AR138" s="30" t="str">
        <f t="shared" si="11"/>
        <v/>
      </c>
      <c r="AS138" s="30" t="str">
        <f t="shared" si="11"/>
        <v/>
      </c>
      <c r="AT138" s="30" t="str">
        <f t="shared" si="11"/>
        <v/>
      </c>
      <c r="AU138" s="30" t="str">
        <f t="shared" si="11"/>
        <v/>
      </c>
      <c r="AV138" s="30" t="str">
        <f t="shared" si="11"/>
        <v/>
      </c>
      <c r="AW138" s="30" t="str">
        <f t="shared" si="11"/>
        <v/>
      </c>
      <c r="AX138" s="30" t="str">
        <f t="shared" si="11"/>
        <v/>
      </c>
      <c r="AY138" s="30" t="str">
        <f t="shared" si="11"/>
        <v/>
      </c>
      <c r="AZ138" s="46" t="str">
        <f t="shared" si="11"/>
        <v/>
      </c>
      <c r="BA138" s="122" t="s">
        <v>182</v>
      </c>
      <c r="BB138" s="47" t="s">
        <v>405</v>
      </c>
    </row>
    <row r="139" spans="1:54" ht="15.75" customHeight="1" x14ac:dyDescent="0.25">
      <c r="A139" s="100" t="s">
        <v>263</v>
      </c>
      <c r="B139" s="116" t="s">
        <v>64</v>
      </c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62" t="s">
        <v>264</v>
      </c>
      <c r="BB139" s="47"/>
    </row>
    <row r="140" spans="1:54" ht="15.75" customHeight="1" x14ac:dyDescent="0.25">
      <c r="A140" s="100" t="s">
        <v>265</v>
      </c>
      <c r="B140" s="62" t="s">
        <v>266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8"/>
      <c r="AX140" s="28"/>
      <c r="AY140" s="29"/>
      <c r="AZ140" s="24"/>
      <c r="BA140" s="62" t="s">
        <v>267</v>
      </c>
      <c r="BB140" s="47"/>
    </row>
    <row r="141" spans="1:54" ht="15.75" customHeight="1" x14ac:dyDescent="0.25">
      <c r="A141" s="100" t="s">
        <v>268</v>
      </c>
      <c r="B141" s="62" t="s">
        <v>269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8"/>
      <c r="AV141" s="29"/>
      <c r="AW141" s="29"/>
      <c r="AX141" s="29"/>
      <c r="AY141" s="29"/>
      <c r="AZ141" s="24"/>
      <c r="BA141" s="62" t="s">
        <v>20</v>
      </c>
      <c r="BB141" s="47"/>
    </row>
    <row r="142" spans="1:54" ht="15.75" customHeight="1" x14ac:dyDescent="0.25">
      <c r="A142" s="100" t="s">
        <v>270</v>
      </c>
      <c r="B142" s="62" t="s">
        <v>187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115" t="s">
        <v>20</v>
      </c>
      <c r="BB142" s="47"/>
    </row>
    <row r="143" spans="1:54" ht="15.75" customHeight="1" x14ac:dyDescent="0.25">
      <c r="A143" s="88" t="s">
        <v>271</v>
      </c>
      <c r="B143" s="19" t="s">
        <v>189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62" t="s">
        <v>138</v>
      </c>
      <c r="BB143" s="47" t="s">
        <v>191</v>
      </c>
    </row>
    <row r="144" spans="1:54" ht="15.75" customHeight="1" x14ac:dyDescent="0.25">
      <c r="A144" s="88" t="s">
        <v>272</v>
      </c>
      <c r="B144" s="19" t="s">
        <v>273</v>
      </c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4"/>
      <c r="BA144" s="62" t="s">
        <v>195</v>
      </c>
      <c r="BB144" s="70" t="s">
        <v>350</v>
      </c>
    </row>
    <row r="145" spans="1:54" ht="15.75" customHeight="1" x14ac:dyDescent="0.25">
      <c r="A145" s="88" t="s">
        <v>274</v>
      </c>
      <c r="B145" s="17" t="s">
        <v>275</v>
      </c>
      <c r="L145" s="4"/>
      <c r="U145" s="4"/>
      <c r="AY145" s="4"/>
      <c r="AZ145" s="24"/>
      <c r="BA145" s="62" t="s">
        <v>138</v>
      </c>
      <c r="BB145" s="47"/>
    </row>
    <row r="146" spans="1:54" ht="15.75" customHeight="1" thickBot="1" x14ac:dyDescent="0.3">
      <c r="A146" s="88" t="s">
        <v>276</v>
      </c>
      <c r="B146" s="83" t="s">
        <v>277</v>
      </c>
      <c r="C146" s="25"/>
      <c r="D146" s="25"/>
      <c r="E146" s="25"/>
      <c r="F146" s="25"/>
      <c r="G146" s="25"/>
      <c r="H146" s="25"/>
      <c r="I146" s="119" t="s">
        <v>402</v>
      </c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6"/>
      <c r="BA146" s="62" t="s">
        <v>138</v>
      </c>
      <c r="BB146" s="47"/>
    </row>
    <row r="147" spans="1:54" ht="15.75" customHeight="1" x14ac:dyDescent="0.25">
      <c r="A147" s="88" t="s">
        <v>278</v>
      </c>
      <c r="B147" s="85" t="s">
        <v>279</v>
      </c>
      <c r="C147" t="str">
        <f>IF(C58="","",C58)</f>
        <v/>
      </c>
      <c r="D147" t="str">
        <f t="shared" ref="D147:AY147" si="12">IF(D58="","",D58)</f>
        <v/>
      </c>
      <c r="E147" t="str">
        <f t="shared" si="12"/>
        <v/>
      </c>
      <c r="F147" t="str">
        <f t="shared" si="12"/>
        <v/>
      </c>
      <c r="G147" t="str">
        <f t="shared" si="12"/>
        <v/>
      </c>
      <c r="H147" t="str">
        <f t="shared" si="12"/>
        <v/>
      </c>
      <c r="I147" t="str">
        <f t="shared" si="12"/>
        <v/>
      </c>
      <c r="J147" t="str">
        <f t="shared" si="12"/>
        <v/>
      </c>
      <c r="K147" t="str">
        <f t="shared" si="12"/>
        <v/>
      </c>
      <c r="L147" t="str">
        <f t="shared" si="12"/>
        <v/>
      </c>
      <c r="M147" t="str">
        <f t="shared" si="12"/>
        <v/>
      </c>
      <c r="N147" t="str">
        <f t="shared" si="12"/>
        <v/>
      </c>
      <c r="O147" t="str">
        <f t="shared" ref="O147:W147" si="13">IF(O58="","",O58)</f>
        <v/>
      </c>
      <c r="P147" t="str">
        <f t="shared" si="13"/>
        <v/>
      </c>
      <c r="Q147" t="str">
        <f t="shared" si="13"/>
        <v/>
      </c>
      <c r="R147" t="str">
        <f t="shared" si="13"/>
        <v/>
      </c>
      <c r="S147" t="str">
        <f t="shared" si="13"/>
        <v/>
      </c>
      <c r="T147" t="str">
        <f t="shared" si="13"/>
        <v/>
      </c>
      <c r="U147" t="str">
        <f t="shared" si="13"/>
        <v/>
      </c>
      <c r="V147" t="str">
        <f t="shared" si="13"/>
        <v/>
      </c>
      <c r="W147" t="str">
        <f t="shared" si="13"/>
        <v/>
      </c>
      <c r="X147" t="str">
        <f t="shared" si="12"/>
        <v/>
      </c>
      <c r="Y147" t="str">
        <f t="shared" si="12"/>
        <v/>
      </c>
      <c r="Z147" t="str">
        <f t="shared" si="12"/>
        <v/>
      </c>
      <c r="AA147" t="str">
        <f t="shared" si="12"/>
        <v/>
      </c>
      <c r="AB147" t="str">
        <f t="shared" si="12"/>
        <v/>
      </c>
      <c r="AC147" t="str">
        <f t="shared" si="12"/>
        <v/>
      </c>
      <c r="AD147" t="str">
        <f t="shared" si="12"/>
        <v/>
      </c>
      <c r="AE147" t="str">
        <f t="shared" si="12"/>
        <v/>
      </c>
      <c r="AF147" t="str">
        <f t="shared" si="12"/>
        <v/>
      </c>
      <c r="AG147" t="str">
        <f t="shared" si="12"/>
        <v/>
      </c>
      <c r="AH147" t="str">
        <f t="shared" si="12"/>
        <v/>
      </c>
      <c r="AI147" t="str">
        <f t="shared" si="12"/>
        <v/>
      </c>
      <c r="AJ147" t="str">
        <f t="shared" si="12"/>
        <v/>
      </c>
      <c r="AK147" t="str">
        <f t="shared" ref="AK147" si="14">IF(AK58="","",AK58)</f>
        <v/>
      </c>
      <c r="AL147" t="str">
        <f t="shared" si="12"/>
        <v/>
      </c>
      <c r="AM147" t="str">
        <f t="shared" si="12"/>
        <v/>
      </c>
      <c r="AN147" t="str">
        <f t="shared" si="12"/>
        <v/>
      </c>
      <c r="AO147" t="str">
        <f t="shared" si="12"/>
        <v/>
      </c>
      <c r="AP147" t="str">
        <f t="shared" si="12"/>
        <v/>
      </c>
      <c r="AQ147" t="str">
        <f t="shared" si="12"/>
        <v/>
      </c>
      <c r="AR147" t="str">
        <f t="shared" si="12"/>
        <v/>
      </c>
      <c r="AS147" t="str">
        <f t="shared" si="12"/>
        <v/>
      </c>
      <c r="AT147" t="str">
        <f t="shared" si="12"/>
        <v/>
      </c>
      <c r="AU147" t="str">
        <f t="shared" si="12"/>
        <v/>
      </c>
      <c r="AV147" t="str">
        <f t="shared" si="12"/>
        <v/>
      </c>
      <c r="AW147" t="str">
        <f t="shared" si="12"/>
        <v/>
      </c>
      <c r="AX147" t="str">
        <f t="shared" si="12"/>
        <v/>
      </c>
      <c r="AY147" t="str">
        <f t="shared" si="12"/>
        <v/>
      </c>
      <c r="AZ147" s="13"/>
      <c r="BA147" s="19" t="s">
        <v>280</v>
      </c>
      <c r="BB147" s="3" t="s">
        <v>327</v>
      </c>
    </row>
    <row r="148" spans="1:54" ht="15.75" customHeight="1" x14ac:dyDescent="0.25">
      <c r="A148" s="88" t="s">
        <v>281</v>
      </c>
      <c r="B148" s="17" t="s">
        <v>282</v>
      </c>
      <c r="K148" s="4"/>
      <c r="T148" s="4"/>
      <c r="AZ148" s="14"/>
      <c r="BA148" s="17" t="s">
        <v>283</v>
      </c>
      <c r="BB148" s="3" t="s">
        <v>337</v>
      </c>
    </row>
    <row r="149" spans="1:54" ht="15.75" customHeight="1" x14ac:dyDescent="0.25">
      <c r="A149" s="88" t="s">
        <v>284</v>
      </c>
      <c r="B149" s="17" t="s">
        <v>285</v>
      </c>
      <c r="AH149" s="4"/>
      <c r="AZ149" s="14"/>
      <c r="BA149" s="17" t="s">
        <v>283</v>
      </c>
      <c r="BB149" s="3"/>
    </row>
    <row r="150" spans="1:54" ht="15.75" customHeight="1" x14ac:dyDescent="0.25">
      <c r="A150" s="88" t="s">
        <v>286</v>
      </c>
      <c r="B150" s="17" t="s">
        <v>287</v>
      </c>
      <c r="AW150" s="4"/>
      <c r="AZ150" s="14"/>
      <c r="BA150" s="17" t="s">
        <v>283</v>
      </c>
      <c r="BB150" s="3"/>
    </row>
    <row r="151" spans="1:54" ht="15.75" customHeight="1" x14ac:dyDescent="0.25">
      <c r="A151" s="88" t="s">
        <v>288</v>
      </c>
      <c r="B151" s="17" t="s">
        <v>289</v>
      </c>
      <c r="AE151" s="4"/>
      <c r="AZ151" s="14"/>
      <c r="BA151" s="17" t="s">
        <v>283</v>
      </c>
      <c r="BB151" s="3"/>
    </row>
    <row r="152" spans="1:54" ht="15.75" customHeight="1" x14ac:dyDescent="0.25">
      <c r="A152" s="88" t="s">
        <v>290</v>
      </c>
      <c r="B152" s="17" t="s">
        <v>291</v>
      </c>
      <c r="AL152" s="4"/>
      <c r="AZ152" s="14"/>
      <c r="BA152" s="17" t="s">
        <v>283</v>
      </c>
      <c r="BB152" s="3"/>
    </row>
    <row r="153" spans="1:54" ht="15.75" customHeight="1" x14ac:dyDescent="0.25">
      <c r="A153" s="88" t="s">
        <v>292</v>
      </c>
      <c r="B153" s="17" t="s">
        <v>293</v>
      </c>
      <c r="AL153" s="4"/>
      <c r="AZ153" s="14"/>
      <c r="BA153" s="17" t="s">
        <v>283</v>
      </c>
      <c r="BB153" s="3"/>
    </row>
    <row r="154" spans="1:54" ht="15.75" customHeight="1" x14ac:dyDescent="0.25">
      <c r="A154" s="112" t="s">
        <v>294</v>
      </c>
      <c r="B154" s="111" t="s">
        <v>295</v>
      </c>
      <c r="AO154" s="4"/>
      <c r="AZ154" s="14"/>
      <c r="BA154" s="17" t="s">
        <v>283</v>
      </c>
      <c r="BB154" s="3"/>
    </row>
    <row r="155" spans="1:54" ht="15.75" customHeight="1" thickBot="1" x14ac:dyDescent="0.3">
      <c r="A155" s="112" t="s">
        <v>400</v>
      </c>
      <c r="B155" s="113" t="s">
        <v>401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16"/>
      <c r="BA155" s="61" t="s">
        <v>283</v>
      </c>
      <c r="BB155" s="3"/>
    </row>
    <row r="156" spans="1:54" ht="15.75" customHeight="1" x14ac:dyDescent="0.25">
      <c r="A156" s="88" t="s">
        <v>296</v>
      </c>
      <c r="B156" s="79" t="s">
        <v>199</v>
      </c>
      <c r="M156" s="4"/>
      <c r="V156" s="4"/>
      <c r="AA156" s="4"/>
      <c r="AB156" s="4"/>
      <c r="BA156" s="62"/>
      <c r="BB156" s="47"/>
    </row>
    <row r="157" spans="1:54" ht="15.75" customHeight="1" x14ac:dyDescent="0.25">
      <c r="A157" s="88" t="s">
        <v>297</v>
      </c>
      <c r="B157" s="17" t="s">
        <v>298</v>
      </c>
      <c r="AA157" s="4"/>
      <c r="BA157" s="9" t="s">
        <v>11</v>
      </c>
      <c r="BB157" s="3"/>
    </row>
    <row r="158" spans="1:54" ht="15.75" customHeight="1" x14ac:dyDescent="0.25">
      <c r="A158" s="88" t="s">
        <v>299</v>
      </c>
      <c r="B158" s="17" t="s">
        <v>210</v>
      </c>
      <c r="K158" s="22"/>
      <c r="L158" s="22"/>
      <c r="T158" s="22"/>
      <c r="U158" s="22"/>
      <c r="Z158" s="22"/>
      <c r="AE158" s="22"/>
      <c r="AO158" s="22"/>
      <c r="AP158" s="22"/>
      <c r="BA158" s="10" t="s">
        <v>300</v>
      </c>
      <c r="BB158" s="3" t="s">
        <v>382</v>
      </c>
    </row>
    <row r="159" spans="1:54" ht="15.75" customHeight="1" x14ac:dyDescent="0.25">
      <c r="A159" s="124" t="s">
        <v>410</v>
      </c>
      <c r="B159" s="111" t="s">
        <v>408</v>
      </c>
      <c r="C159" t="str">
        <f>IF(C128="","",C128)</f>
        <v/>
      </c>
      <c r="D159" t="str">
        <f t="shared" ref="D159:AZ159" si="15">IF(D128="","",D128)</f>
        <v/>
      </c>
      <c r="E159" s="4" t="str">
        <f t="shared" si="15"/>
        <v/>
      </c>
      <c r="F159" t="str">
        <f t="shared" si="15"/>
        <v/>
      </c>
      <c r="G159" t="str">
        <f t="shared" si="15"/>
        <v/>
      </c>
      <c r="H159" s="4" t="str">
        <f t="shared" si="15"/>
        <v/>
      </c>
      <c r="I159" t="str">
        <f t="shared" si="15"/>
        <v/>
      </c>
      <c r="J159" t="str">
        <f t="shared" si="15"/>
        <v/>
      </c>
      <c r="K159" t="str">
        <f t="shared" si="15"/>
        <v/>
      </c>
      <c r="L159" s="22" t="str">
        <f t="shared" si="15"/>
        <v/>
      </c>
      <c r="M159" t="str">
        <f t="shared" si="15"/>
        <v/>
      </c>
      <c r="N159" t="str">
        <f t="shared" si="15"/>
        <v/>
      </c>
      <c r="O159" t="str">
        <f t="shared" si="15"/>
        <v/>
      </c>
      <c r="P159" t="str">
        <f t="shared" si="15"/>
        <v/>
      </c>
      <c r="Q159" s="4" t="str">
        <f t="shared" si="15"/>
        <v/>
      </c>
      <c r="R159" t="str">
        <f t="shared" si="15"/>
        <v/>
      </c>
      <c r="S159" t="str">
        <f t="shared" si="15"/>
        <v/>
      </c>
      <c r="T159" t="str">
        <f t="shared" si="15"/>
        <v/>
      </c>
      <c r="U159" s="22" t="str">
        <f t="shared" si="15"/>
        <v/>
      </c>
      <c r="V159" t="str">
        <f t="shared" si="15"/>
        <v/>
      </c>
      <c r="W159" t="str">
        <f t="shared" si="15"/>
        <v/>
      </c>
      <c r="X159" t="str">
        <f t="shared" si="15"/>
        <v/>
      </c>
      <c r="Y159" t="str">
        <f t="shared" si="15"/>
        <v/>
      </c>
      <c r="Z159" t="str">
        <f t="shared" si="15"/>
        <v/>
      </c>
      <c r="AA159" t="str">
        <f t="shared" si="15"/>
        <v/>
      </c>
      <c r="AB159" s="22" t="str">
        <f t="shared" si="15"/>
        <v/>
      </c>
      <c r="AC159" s="4" t="str">
        <f t="shared" si="15"/>
        <v/>
      </c>
      <c r="AD159" t="str">
        <f t="shared" si="15"/>
        <v/>
      </c>
      <c r="AE159" t="str">
        <f t="shared" si="15"/>
        <v/>
      </c>
      <c r="AF159" t="str">
        <f t="shared" si="15"/>
        <v/>
      </c>
      <c r="AG159" t="str">
        <f t="shared" si="15"/>
        <v/>
      </c>
      <c r="AH159" t="str">
        <f t="shared" si="15"/>
        <v/>
      </c>
      <c r="AI159" t="str">
        <f t="shared" si="15"/>
        <v/>
      </c>
      <c r="AJ159" t="str">
        <f t="shared" si="15"/>
        <v/>
      </c>
      <c r="AK159" t="str">
        <f t="shared" si="15"/>
        <v/>
      </c>
      <c r="AL159" t="str">
        <f t="shared" si="15"/>
        <v/>
      </c>
      <c r="AM159" t="str">
        <f t="shared" si="15"/>
        <v/>
      </c>
      <c r="AN159" t="str">
        <f t="shared" si="15"/>
        <v/>
      </c>
      <c r="AO159" s="22" t="str">
        <f t="shared" si="15"/>
        <v/>
      </c>
      <c r="AP159" t="str">
        <f t="shared" si="15"/>
        <v/>
      </c>
      <c r="AQ159" t="str">
        <f t="shared" si="15"/>
        <v/>
      </c>
      <c r="AR159" t="str">
        <f t="shared" si="15"/>
        <v/>
      </c>
      <c r="AS159" t="str">
        <f t="shared" si="15"/>
        <v/>
      </c>
      <c r="AT159" t="str">
        <f t="shared" si="15"/>
        <v/>
      </c>
      <c r="AU159" t="str">
        <f t="shared" si="15"/>
        <v/>
      </c>
      <c r="AV159" t="str">
        <f t="shared" si="15"/>
        <v/>
      </c>
      <c r="AW159" t="str">
        <f t="shared" si="15"/>
        <v/>
      </c>
      <c r="AX159" t="str">
        <f t="shared" si="15"/>
        <v/>
      </c>
      <c r="AY159" t="str">
        <f t="shared" si="15"/>
        <v/>
      </c>
      <c r="AZ159" t="str">
        <f t="shared" si="15"/>
        <v/>
      </c>
      <c r="BA159" s="108"/>
      <c r="BB159" s="71" t="s">
        <v>409</v>
      </c>
    </row>
    <row r="160" spans="1:54" ht="15.75" customHeight="1" x14ac:dyDescent="0.25">
      <c r="A160" s="124" t="s">
        <v>410</v>
      </c>
      <c r="B160" s="17" t="s">
        <v>305</v>
      </c>
      <c r="L160" s="23"/>
      <c r="U160" s="23"/>
      <c r="AB160" s="23"/>
      <c r="AO160" s="23"/>
      <c r="AR160" s="4"/>
      <c r="AT160" s="4"/>
      <c r="BA160" s="10" t="s">
        <v>259</v>
      </c>
      <c r="BB160" s="3"/>
    </row>
    <row r="161" spans="1:54" ht="15.75" customHeight="1" x14ac:dyDescent="0.25">
      <c r="A161" s="88" t="s">
        <v>306</v>
      </c>
      <c r="B161" s="17" t="s">
        <v>307</v>
      </c>
      <c r="C161" t="str">
        <f>IF(C42="","",C42)</f>
        <v/>
      </c>
      <c r="D161" t="str">
        <f t="shared" ref="D161:AZ161" si="16">IF(D42="","",D42)</f>
        <v/>
      </c>
      <c r="E161" t="str">
        <f t="shared" si="16"/>
        <v/>
      </c>
      <c r="F161" t="str">
        <f t="shared" si="16"/>
        <v/>
      </c>
      <c r="G161" t="str">
        <f t="shared" si="16"/>
        <v/>
      </c>
      <c r="H161" t="str">
        <f t="shared" si="16"/>
        <v/>
      </c>
      <c r="I161" t="str">
        <f t="shared" si="16"/>
        <v/>
      </c>
      <c r="J161" t="str">
        <f t="shared" si="16"/>
        <v/>
      </c>
      <c r="K161" t="str">
        <f t="shared" si="16"/>
        <v/>
      </c>
      <c r="L161" t="str">
        <f t="shared" si="16"/>
        <v/>
      </c>
      <c r="M161" t="str">
        <f t="shared" si="16"/>
        <v/>
      </c>
      <c r="N161" t="str">
        <f t="shared" si="16"/>
        <v/>
      </c>
      <c r="O161" t="str">
        <f t="shared" si="16"/>
        <v/>
      </c>
      <c r="P161" t="str">
        <f t="shared" si="16"/>
        <v/>
      </c>
      <c r="Q161" t="str">
        <f t="shared" si="16"/>
        <v/>
      </c>
      <c r="R161" t="str">
        <f t="shared" si="16"/>
        <v/>
      </c>
      <c r="S161" t="str">
        <f t="shared" si="16"/>
        <v/>
      </c>
      <c r="T161" t="str">
        <f t="shared" si="16"/>
        <v/>
      </c>
      <c r="U161" t="str">
        <f t="shared" si="16"/>
        <v/>
      </c>
      <c r="V161" t="str">
        <f t="shared" si="16"/>
        <v/>
      </c>
      <c r="W161" t="str">
        <f t="shared" si="16"/>
        <v/>
      </c>
      <c r="X161" t="str">
        <f t="shared" si="16"/>
        <v/>
      </c>
      <c r="Y161" t="str">
        <f t="shared" si="16"/>
        <v/>
      </c>
      <c r="Z161" t="str">
        <f t="shared" si="16"/>
        <v/>
      </c>
      <c r="AA161" t="str">
        <f t="shared" si="16"/>
        <v/>
      </c>
      <c r="AB161" t="str">
        <f t="shared" si="16"/>
        <v/>
      </c>
      <c r="AC161" t="str">
        <f t="shared" si="16"/>
        <v/>
      </c>
      <c r="AD161" t="str">
        <f t="shared" si="16"/>
        <v/>
      </c>
      <c r="AE161" t="str">
        <f t="shared" si="16"/>
        <v/>
      </c>
      <c r="AF161" t="str">
        <f t="shared" si="16"/>
        <v/>
      </c>
      <c r="AG161" t="str">
        <f t="shared" si="16"/>
        <v/>
      </c>
      <c r="AH161" t="str">
        <f t="shared" si="16"/>
        <v/>
      </c>
      <c r="AI161" t="str">
        <f t="shared" si="16"/>
        <v/>
      </c>
      <c r="AJ161" t="str">
        <f t="shared" si="16"/>
        <v/>
      </c>
      <c r="AK161" t="str">
        <f t="shared" si="16"/>
        <v/>
      </c>
      <c r="AL161" t="str">
        <f t="shared" si="16"/>
        <v/>
      </c>
      <c r="AM161" t="str">
        <f t="shared" si="16"/>
        <v/>
      </c>
      <c r="AN161" t="str">
        <f t="shared" si="16"/>
        <v/>
      </c>
      <c r="AO161" t="str">
        <f t="shared" si="16"/>
        <v/>
      </c>
      <c r="AP161" t="str">
        <f t="shared" si="16"/>
        <v/>
      </c>
      <c r="AQ161" t="str">
        <f t="shared" si="16"/>
        <v/>
      </c>
      <c r="AR161" t="str">
        <f t="shared" si="16"/>
        <v/>
      </c>
      <c r="AS161" t="str">
        <f t="shared" si="16"/>
        <v/>
      </c>
      <c r="AT161" t="str">
        <f t="shared" si="16"/>
        <v/>
      </c>
      <c r="AU161" t="str">
        <f t="shared" si="16"/>
        <v/>
      </c>
      <c r="AV161" t="str">
        <f t="shared" si="16"/>
        <v/>
      </c>
      <c r="AW161" t="str">
        <f t="shared" si="16"/>
        <v/>
      </c>
      <c r="AX161" t="str">
        <f t="shared" si="16"/>
        <v/>
      </c>
      <c r="AY161" t="str">
        <f t="shared" si="16"/>
        <v/>
      </c>
      <c r="AZ161" t="str">
        <f t="shared" si="16"/>
        <v/>
      </c>
      <c r="BA161" s="108" t="s">
        <v>308</v>
      </c>
      <c r="BB161" s="3" t="s">
        <v>380</v>
      </c>
    </row>
    <row r="162" spans="1:54" ht="15.75" customHeight="1" x14ac:dyDescent="0.25">
      <c r="A162" s="88" t="s">
        <v>309</v>
      </c>
      <c r="B162" s="17" t="s">
        <v>104</v>
      </c>
      <c r="C162" t="str">
        <f>IF(C45="","",C45)</f>
        <v/>
      </c>
      <c r="D162" t="str">
        <f t="shared" ref="D162:AZ162" si="17">IF(D45="","",D45)</f>
        <v/>
      </c>
      <c r="E162" t="str">
        <f t="shared" si="17"/>
        <v/>
      </c>
      <c r="F162" t="str">
        <f t="shared" si="17"/>
        <v/>
      </c>
      <c r="G162" t="str">
        <f t="shared" si="17"/>
        <v/>
      </c>
      <c r="H162" t="str">
        <f t="shared" si="17"/>
        <v/>
      </c>
      <c r="I162" t="str">
        <f t="shared" si="17"/>
        <v/>
      </c>
      <c r="J162" t="str">
        <f t="shared" si="17"/>
        <v/>
      </c>
      <c r="K162" t="str">
        <f t="shared" si="17"/>
        <v/>
      </c>
      <c r="L162" t="str">
        <f t="shared" si="17"/>
        <v/>
      </c>
      <c r="M162" t="str">
        <f t="shared" si="17"/>
        <v/>
      </c>
      <c r="N162" t="str">
        <f t="shared" si="17"/>
        <v/>
      </c>
      <c r="O162" t="str">
        <f t="shared" si="17"/>
        <v/>
      </c>
      <c r="P162" t="str">
        <f t="shared" si="17"/>
        <v/>
      </c>
      <c r="Q162" t="str">
        <f t="shared" si="17"/>
        <v/>
      </c>
      <c r="R162" t="str">
        <f t="shared" si="17"/>
        <v/>
      </c>
      <c r="S162" t="str">
        <f t="shared" si="17"/>
        <v/>
      </c>
      <c r="T162" t="str">
        <f t="shared" si="17"/>
        <v/>
      </c>
      <c r="U162" t="str">
        <f t="shared" si="17"/>
        <v/>
      </c>
      <c r="V162" t="str">
        <f t="shared" si="17"/>
        <v/>
      </c>
      <c r="W162" t="str">
        <f t="shared" si="17"/>
        <v/>
      </c>
      <c r="X162" t="str">
        <f t="shared" si="17"/>
        <v/>
      </c>
      <c r="Y162" t="str">
        <f t="shared" si="17"/>
        <v/>
      </c>
      <c r="Z162" t="str">
        <f t="shared" si="17"/>
        <v/>
      </c>
      <c r="AA162" t="str">
        <f t="shared" si="17"/>
        <v/>
      </c>
      <c r="AB162" t="str">
        <f t="shared" si="17"/>
        <v/>
      </c>
      <c r="AC162" t="str">
        <f t="shared" si="17"/>
        <v/>
      </c>
      <c r="AD162" t="str">
        <f t="shared" si="17"/>
        <v/>
      </c>
      <c r="AE162" t="str">
        <f t="shared" si="17"/>
        <v/>
      </c>
      <c r="AF162" t="str">
        <f t="shared" si="17"/>
        <v/>
      </c>
      <c r="AG162" t="str">
        <f t="shared" si="17"/>
        <v/>
      </c>
      <c r="AH162" t="str">
        <f t="shared" si="17"/>
        <v/>
      </c>
      <c r="AI162" t="str">
        <f t="shared" si="17"/>
        <v/>
      </c>
      <c r="AJ162" t="str">
        <f t="shared" si="17"/>
        <v/>
      </c>
      <c r="AK162" t="str">
        <f t="shared" si="17"/>
        <v/>
      </c>
      <c r="AL162" t="str">
        <f t="shared" si="17"/>
        <v/>
      </c>
      <c r="AM162" t="str">
        <f t="shared" si="17"/>
        <v/>
      </c>
      <c r="AN162" t="str">
        <f t="shared" si="17"/>
        <v/>
      </c>
      <c r="AO162" t="str">
        <f t="shared" si="17"/>
        <v/>
      </c>
      <c r="AP162" t="str">
        <f t="shared" si="17"/>
        <v/>
      </c>
      <c r="AQ162" t="str">
        <f t="shared" si="17"/>
        <v/>
      </c>
      <c r="AR162" t="str">
        <f t="shared" si="17"/>
        <v/>
      </c>
      <c r="AS162" t="str">
        <f t="shared" si="17"/>
        <v/>
      </c>
      <c r="AT162" t="str">
        <f t="shared" si="17"/>
        <v/>
      </c>
      <c r="AU162" t="str">
        <f t="shared" si="17"/>
        <v/>
      </c>
      <c r="AV162" t="str">
        <f t="shared" si="17"/>
        <v/>
      </c>
      <c r="AW162" t="str">
        <f t="shared" si="17"/>
        <v/>
      </c>
      <c r="AX162" t="str">
        <f t="shared" si="17"/>
        <v/>
      </c>
      <c r="AY162" t="str">
        <f t="shared" si="17"/>
        <v/>
      </c>
      <c r="AZ162" t="str">
        <f t="shared" si="17"/>
        <v/>
      </c>
      <c r="BA162" s="108" t="s">
        <v>168</v>
      </c>
      <c r="BB162" s="3" t="s">
        <v>334</v>
      </c>
    </row>
    <row r="163" spans="1:54" ht="14.25" customHeight="1" x14ac:dyDescent="0.25">
      <c r="A163" s="88" t="s">
        <v>310</v>
      </c>
      <c r="B163" s="104" t="s">
        <v>311</v>
      </c>
      <c r="AP163" s="4"/>
      <c r="AQ163" s="4"/>
      <c r="AZ163" s="14"/>
      <c r="BA163" s="10" t="s">
        <v>312</v>
      </c>
      <c r="BB163" s="3" t="s">
        <v>335</v>
      </c>
    </row>
    <row r="164" spans="1:54" ht="15.75" customHeight="1" x14ac:dyDescent="0.25">
      <c r="A164" s="89" t="s">
        <v>313</v>
      </c>
      <c r="B164" s="17" t="s">
        <v>130</v>
      </c>
      <c r="BA164" s="10" t="s">
        <v>20</v>
      </c>
      <c r="BB164" s="71" t="s">
        <v>386</v>
      </c>
    </row>
    <row r="165" spans="1:54" ht="15.75" customHeight="1" x14ac:dyDescent="0.25">
      <c r="A165" s="88" t="s">
        <v>314</v>
      </c>
      <c r="B165" s="17" t="s">
        <v>315</v>
      </c>
      <c r="C165" s="57"/>
      <c r="D165" s="58"/>
      <c r="E165" s="58"/>
      <c r="F165" s="58"/>
      <c r="G165" s="58"/>
      <c r="H165" s="58"/>
      <c r="I165" s="58"/>
      <c r="J165" s="58"/>
      <c r="K165" s="58"/>
      <c r="L165" s="58"/>
      <c r="M165" s="59"/>
      <c r="N165" s="58"/>
      <c r="O165" s="58"/>
      <c r="P165" s="58"/>
      <c r="Q165" s="58"/>
      <c r="R165" s="58"/>
      <c r="S165" s="58"/>
      <c r="T165" s="58"/>
      <c r="U165" s="58"/>
      <c r="V165" s="59"/>
      <c r="W165" s="58"/>
      <c r="X165" s="58"/>
      <c r="Y165" s="58"/>
      <c r="Z165" s="59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9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60" t="s">
        <v>204</v>
      </c>
      <c r="BB165" s="3"/>
    </row>
    <row r="166" spans="1:54" ht="15.75" customHeight="1" x14ac:dyDescent="0.25">
      <c r="B166" s="5"/>
      <c r="BA166" s="5"/>
    </row>
    <row r="167" spans="1:54" ht="15.75" customHeight="1" x14ac:dyDescent="0.25">
      <c r="B167" s="5"/>
      <c r="BA167" s="5"/>
    </row>
    <row r="168" spans="1:54" ht="15.75" customHeight="1" x14ac:dyDescent="0.25">
      <c r="A168" s="20" t="s">
        <v>316</v>
      </c>
      <c r="B168" s="20" t="s">
        <v>328</v>
      </c>
      <c r="BA168" s="5"/>
    </row>
    <row r="169" spans="1:54" ht="15.75" customHeight="1" x14ac:dyDescent="0.25">
      <c r="A169" s="20" t="s">
        <v>317</v>
      </c>
      <c r="B169" s="20" t="s">
        <v>329</v>
      </c>
      <c r="BA169" s="5"/>
    </row>
    <row r="170" spans="1:54" ht="15.75" customHeight="1" x14ac:dyDescent="0.25">
      <c r="A170" s="20" t="s">
        <v>318</v>
      </c>
      <c r="B170" s="20" t="s">
        <v>330</v>
      </c>
      <c r="BA170" s="5"/>
    </row>
    <row r="171" spans="1:54" ht="15.75" customHeight="1" x14ac:dyDescent="0.25">
      <c r="A171" s="20" t="s">
        <v>319</v>
      </c>
      <c r="B171" s="21"/>
      <c r="BA171" s="5"/>
    </row>
    <row r="172" spans="1:54" ht="15.75" customHeight="1" x14ac:dyDescent="0.25">
      <c r="B172" s="5"/>
      <c r="BA172" s="5"/>
    </row>
    <row r="173" spans="1:54" ht="15.75" customHeight="1" x14ac:dyDescent="0.25">
      <c r="B173" s="5"/>
      <c r="BA173" s="5"/>
    </row>
    <row r="174" spans="1:54" ht="15.75" customHeight="1" x14ac:dyDescent="0.25">
      <c r="B174" s="5"/>
      <c r="BA174" s="5"/>
    </row>
    <row r="175" spans="1:54" ht="15.75" customHeight="1" x14ac:dyDescent="0.25">
      <c r="B175" s="5"/>
      <c r="BA175" s="5"/>
    </row>
    <row r="176" spans="1:54" ht="15.75" customHeight="1" x14ac:dyDescent="0.25">
      <c r="B176" s="5"/>
      <c r="BA176" s="5"/>
    </row>
    <row r="177" spans="2:53" ht="15.75" customHeight="1" x14ac:dyDescent="0.25">
      <c r="B177" s="5"/>
      <c r="BA177" s="5"/>
    </row>
    <row r="178" spans="2:53" ht="15.75" customHeight="1" x14ac:dyDescent="0.25">
      <c r="B178" s="5"/>
      <c r="BA178" s="5"/>
    </row>
    <row r="179" spans="2:53" ht="15.75" customHeight="1" x14ac:dyDescent="0.25">
      <c r="B179" s="5"/>
      <c r="BA179" s="5"/>
    </row>
    <row r="180" spans="2:53" ht="15.75" customHeight="1" x14ac:dyDescent="0.25">
      <c r="B180" s="5"/>
      <c r="BA180" s="5"/>
    </row>
    <row r="181" spans="2:53" ht="15.75" customHeight="1" x14ac:dyDescent="0.25">
      <c r="B181" s="5"/>
      <c r="BA181" s="5"/>
    </row>
    <row r="182" spans="2:53" ht="15.75" customHeight="1" x14ac:dyDescent="0.25">
      <c r="B182" s="5"/>
      <c r="BA182" s="5"/>
    </row>
    <row r="183" spans="2:53" ht="15.75" customHeight="1" x14ac:dyDescent="0.25">
      <c r="B183" s="5"/>
      <c r="BA183" s="5"/>
    </row>
    <row r="184" spans="2:53" ht="15.75" customHeight="1" x14ac:dyDescent="0.25">
      <c r="B184" s="5"/>
      <c r="BA184" s="5"/>
    </row>
    <row r="185" spans="2:53" ht="15.75" customHeight="1" x14ac:dyDescent="0.25">
      <c r="B185" s="5"/>
      <c r="BA185" s="5"/>
    </row>
    <row r="186" spans="2:53" ht="15.75" customHeight="1" x14ac:dyDescent="0.25">
      <c r="B186" s="5"/>
      <c r="BA186" s="5"/>
    </row>
    <row r="187" spans="2:53" ht="15.75" customHeight="1" x14ac:dyDescent="0.25">
      <c r="B187" s="5"/>
      <c r="BA187" s="5"/>
    </row>
    <row r="188" spans="2:53" ht="15.75" customHeight="1" x14ac:dyDescent="0.25">
      <c r="B188" s="5"/>
      <c r="BA188" s="5"/>
    </row>
    <row r="189" spans="2:53" ht="15.75" customHeight="1" x14ac:dyDescent="0.25">
      <c r="B189" s="5"/>
      <c r="BA189" s="5"/>
    </row>
    <row r="190" spans="2:53" ht="15.75" customHeight="1" x14ac:dyDescent="0.25">
      <c r="B190" s="5"/>
      <c r="BA190" s="5"/>
    </row>
    <row r="191" spans="2:53" ht="15.75" customHeight="1" x14ac:dyDescent="0.25">
      <c r="B191" s="5"/>
      <c r="BA191" s="5"/>
    </row>
    <row r="192" spans="2:53" ht="15.75" customHeight="1" x14ac:dyDescent="0.25">
      <c r="B192" s="5"/>
      <c r="BA192" s="5"/>
    </row>
    <row r="193" spans="2:53" ht="15.75" customHeight="1" x14ac:dyDescent="0.25">
      <c r="B193" s="5"/>
      <c r="BA193" s="5"/>
    </row>
    <row r="194" spans="2:53" ht="15.75" customHeight="1" x14ac:dyDescent="0.25">
      <c r="B194" s="5"/>
      <c r="BA194" s="5"/>
    </row>
    <row r="195" spans="2:53" ht="15.75" customHeight="1" x14ac:dyDescent="0.25">
      <c r="B195" s="5"/>
      <c r="BA195" s="5"/>
    </row>
    <row r="196" spans="2:53" ht="15.75" customHeight="1" x14ac:dyDescent="0.25">
      <c r="B196" s="5"/>
      <c r="BA196" s="5"/>
    </row>
    <row r="197" spans="2:53" ht="15.75" customHeight="1" x14ac:dyDescent="0.25">
      <c r="B197" s="5"/>
      <c r="BA197" s="5"/>
    </row>
    <row r="198" spans="2:53" ht="15.75" customHeight="1" x14ac:dyDescent="0.25">
      <c r="B198" s="5"/>
      <c r="BA198" s="5"/>
    </row>
    <row r="199" spans="2:53" ht="15.75" customHeight="1" x14ac:dyDescent="0.25">
      <c r="B199" s="5"/>
      <c r="BA199" s="5"/>
    </row>
    <row r="200" spans="2:53" ht="15.75" customHeight="1" x14ac:dyDescent="0.25">
      <c r="B200" s="5"/>
      <c r="BA200" s="5"/>
    </row>
    <row r="201" spans="2:53" ht="15.75" customHeight="1" x14ac:dyDescent="0.25">
      <c r="B201" s="5"/>
      <c r="BA201" s="5"/>
    </row>
    <row r="202" spans="2:53" ht="15.75" customHeight="1" x14ac:dyDescent="0.25">
      <c r="B202" s="5"/>
      <c r="BA202" s="5"/>
    </row>
    <row r="203" spans="2:53" ht="15.75" customHeight="1" x14ac:dyDescent="0.25">
      <c r="B203" s="5"/>
      <c r="BA203" s="5"/>
    </row>
    <row r="204" spans="2:53" ht="15.75" customHeight="1" x14ac:dyDescent="0.25">
      <c r="B204" s="5"/>
      <c r="BA204" s="5"/>
    </row>
    <row r="205" spans="2:53" ht="15.75" customHeight="1" x14ac:dyDescent="0.25">
      <c r="B205" s="5"/>
      <c r="BA205" s="5"/>
    </row>
    <row r="206" spans="2:53" ht="15.75" customHeight="1" x14ac:dyDescent="0.25">
      <c r="B206" s="5"/>
      <c r="BA206" s="5"/>
    </row>
    <row r="207" spans="2:53" ht="15.75" customHeight="1" x14ac:dyDescent="0.25">
      <c r="B207" s="5"/>
      <c r="BA207" s="5"/>
    </row>
    <row r="208" spans="2:53" ht="15.75" customHeight="1" x14ac:dyDescent="0.25">
      <c r="B208" s="5"/>
      <c r="BA208" s="5"/>
    </row>
    <row r="209" spans="2:53" ht="15.75" customHeight="1" x14ac:dyDescent="0.25">
      <c r="B209" s="5"/>
      <c r="BA209" s="5"/>
    </row>
    <row r="210" spans="2:53" ht="15.75" customHeight="1" x14ac:dyDescent="0.25">
      <c r="B210" s="5"/>
      <c r="BA210" s="5"/>
    </row>
    <row r="211" spans="2:53" ht="15.75" customHeight="1" x14ac:dyDescent="0.25">
      <c r="B211" s="5"/>
      <c r="BA211" s="5"/>
    </row>
    <row r="212" spans="2:53" ht="15.75" customHeight="1" x14ac:dyDescent="0.25">
      <c r="B212" s="5"/>
      <c r="BA212" s="5"/>
    </row>
    <row r="213" spans="2:53" ht="15.75" customHeight="1" x14ac:dyDescent="0.25">
      <c r="B213" s="5"/>
      <c r="BA213" s="5"/>
    </row>
    <row r="214" spans="2:53" ht="15.75" customHeight="1" x14ac:dyDescent="0.25">
      <c r="B214" s="5"/>
      <c r="BA214" s="5"/>
    </row>
    <row r="215" spans="2:53" ht="15.75" customHeight="1" x14ac:dyDescent="0.25">
      <c r="B215" s="5"/>
      <c r="BA215" s="5"/>
    </row>
    <row r="216" spans="2:53" ht="15.75" customHeight="1" x14ac:dyDescent="0.25">
      <c r="B216" s="5"/>
      <c r="BA216" s="5"/>
    </row>
    <row r="217" spans="2:53" ht="15.75" customHeight="1" x14ac:dyDescent="0.25">
      <c r="B217" s="5"/>
      <c r="BA217" s="5"/>
    </row>
    <row r="218" spans="2:53" ht="15.75" customHeight="1" x14ac:dyDescent="0.25">
      <c r="B218" s="5"/>
      <c r="BA218" s="5"/>
    </row>
    <row r="219" spans="2:53" ht="15.75" customHeight="1" x14ac:dyDescent="0.25">
      <c r="B219" s="5"/>
      <c r="BA219" s="5"/>
    </row>
    <row r="220" spans="2:53" ht="15.75" customHeight="1" x14ac:dyDescent="0.25">
      <c r="B220" s="5"/>
      <c r="BA220" s="5"/>
    </row>
    <row r="221" spans="2:53" ht="15.75" customHeight="1" x14ac:dyDescent="0.25">
      <c r="B221" s="5"/>
      <c r="BA221" s="5"/>
    </row>
    <row r="222" spans="2:53" ht="15.75" customHeight="1" x14ac:dyDescent="0.25">
      <c r="B222" s="5"/>
      <c r="BA222" s="5"/>
    </row>
    <row r="223" spans="2:53" ht="15.75" customHeight="1" x14ac:dyDescent="0.25">
      <c r="B223" s="5"/>
      <c r="BA223" s="5"/>
    </row>
    <row r="224" spans="2:53" ht="15.75" customHeight="1" x14ac:dyDescent="0.25">
      <c r="B224" s="5"/>
      <c r="BA224" s="5"/>
    </row>
    <row r="225" spans="2:53" ht="15.75" customHeight="1" x14ac:dyDescent="0.25">
      <c r="B225" s="5"/>
      <c r="BA225" s="5"/>
    </row>
    <row r="226" spans="2:53" ht="15.75" customHeight="1" x14ac:dyDescent="0.25">
      <c r="B226" s="5"/>
      <c r="BA226" s="5"/>
    </row>
    <row r="227" spans="2:53" ht="15.75" customHeight="1" x14ac:dyDescent="0.25">
      <c r="B227" s="5"/>
      <c r="BA227" s="5"/>
    </row>
    <row r="228" spans="2:53" ht="15.75" customHeight="1" x14ac:dyDescent="0.25">
      <c r="B228" s="5"/>
      <c r="BA228" s="5"/>
    </row>
    <row r="229" spans="2:53" ht="15.75" customHeight="1" x14ac:dyDescent="0.25">
      <c r="B229" s="5"/>
      <c r="BA229" s="5"/>
    </row>
    <row r="230" spans="2:53" ht="15.75" customHeight="1" x14ac:dyDescent="0.25">
      <c r="B230" s="5"/>
      <c r="BA230" s="5"/>
    </row>
    <row r="231" spans="2:53" ht="15.75" customHeight="1" x14ac:dyDescent="0.25">
      <c r="B231" s="5"/>
      <c r="BA231" s="5"/>
    </row>
    <row r="232" spans="2:53" ht="15.75" customHeight="1" x14ac:dyDescent="0.25">
      <c r="B232" s="5"/>
      <c r="BA232" s="5"/>
    </row>
    <row r="233" spans="2:53" ht="15.75" customHeight="1" x14ac:dyDescent="0.25">
      <c r="B233" s="5"/>
      <c r="BA233" s="5"/>
    </row>
    <row r="234" spans="2:53" ht="15.75" customHeight="1" x14ac:dyDescent="0.25">
      <c r="B234" s="5"/>
      <c r="BA234" s="5"/>
    </row>
    <row r="235" spans="2:53" ht="15.75" customHeight="1" x14ac:dyDescent="0.25">
      <c r="B235" s="5"/>
      <c r="BA235" s="5"/>
    </row>
    <row r="236" spans="2:53" ht="15.75" customHeight="1" x14ac:dyDescent="0.25">
      <c r="B236" s="5"/>
      <c r="BA236" s="5"/>
    </row>
    <row r="237" spans="2:53" ht="15.75" customHeight="1" x14ac:dyDescent="0.25">
      <c r="B237" s="5"/>
      <c r="BA237" s="5"/>
    </row>
    <row r="238" spans="2:53" ht="15.75" customHeight="1" x14ac:dyDescent="0.25">
      <c r="B238" s="5"/>
      <c r="BA238" s="5"/>
    </row>
    <row r="239" spans="2:53" ht="15.75" customHeight="1" x14ac:dyDescent="0.25">
      <c r="B239" s="5"/>
      <c r="BA239" s="5"/>
    </row>
    <row r="240" spans="2:53" ht="15.75" customHeight="1" x14ac:dyDescent="0.25">
      <c r="B240" s="5"/>
      <c r="BA240" s="5"/>
    </row>
    <row r="241" spans="2:53" ht="15.75" customHeight="1" x14ac:dyDescent="0.25">
      <c r="B241" s="5"/>
      <c r="BA241" s="5"/>
    </row>
    <row r="242" spans="2:53" ht="15.75" customHeight="1" x14ac:dyDescent="0.25">
      <c r="B242" s="5"/>
      <c r="BA242" s="5"/>
    </row>
    <row r="243" spans="2:53" ht="15.75" customHeight="1" x14ac:dyDescent="0.25">
      <c r="B243" s="5"/>
      <c r="BA243" s="5"/>
    </row>
    <row r="244" spans="2:53" ht="15.75" customHeight="1" x14ac:dyDescent="0.25">
      <c r="B244" s="5"/>
      <c r="BA244" s="5"/>
    </row>
    <row r="245" spans="2:53" ht="15.75" customHeight="1" x14ac:dyDescent="0.25">
      <c r="B245" s="5"/>
      <c r="BA245" s="5"/>
    </row>
    <row r="246" spans="2:53" ht="15.75" customHeight="1" x14ac:dyDescent="0.25">
      <c r="B246" s="5"/>
      <c r="BA246" s="5"/>
    </row>
    <row r="247" spans="2:53" ht="15.75" customHeight="1" x14ac:dyDescent="0.25">
      <c r="B247" s="5"/>
      <c r="BA247" s="5"/>
    </row>
    <row r="248" spans="2:53" ht="15.75" customHeight="1" x14ac:dyDescent="0.25">
      <c r="B248" s="5"/>
      <c r="BA248" s="5"/>
    </row>
    <row r="249" spans="2:53" ht="15.75" customHeight="1" x14ac:dyDescent="0.25">
      <c r="B249" s="5"/>
      <c r="BA249" s="5"/>
    </row>
    <row r="250" spans="2:53" ht="15.75" customHeight="1" x14ac:dyDescent="0.25">
      <c r="B250" s="5"/>
      <c r="BA250" s="5"/>
    </row>
    <row r="251" spans="2:53" ht="15.75" customHeight="1" x14ac:dyDescent="0.25">
      <c r="B251" s="5"/>
      <c r="BA251" s="5"/>
    </row>
    <row r="252" spans="2:53" ht="15.75" customHeight="1" x14ac:dyDescent="0.25">
      <c r="B252" s="5"/>
      <c r="BA252" s="5"/>
    </row>
    <row r="253" spans="2:53" ht="15.75" customHeight="1" x14ac:dyDescent="0.25">
      <c r="B253" s="5"/>
      <c r="BA253" s="5"/>
    </row>
    <row r="254" spans="2:53" ht="15.75" customHeight="1" x14ac:dyDescent="0.25">
      <c r="B254" s="5"/>
      <c r="BA254" s="5"/>
    </row>
    <row r="255" spans="2:53" ht="15.75" customHeight="1" x14ac:dyDescent="0.25">
      <c r="B255" s="5"/>
      <c r="BA255" s="5"/>
    </row>
    <row r="256" spans="2:53" ht="15.75" customHeight="1" x14ac:dyDescent="0.25">
      <c r="B256" s="5"/>
      <c r="BA256" s="5"/>
    </row>
    <row r="257" spans="2:53" ht="15.75" customHeight="1" x14ac:dyDescent="0.25">
      <c r="B257" s="5"/>
      <c r="BA257" s="5"/>
    </row>
    <row r="258" spans="2:53" ht="15.75" customHeight="1" x14ac:dyDescent="0.25">
      <c r="B258" s="5"/>
      <c r="BA258" s="5"/>
    </row>
    <row r="259" spans="2:53" ht="15.75" customHeight="1" x14ac:dyDescent="0.25">
      <c r="B259" s="5"/>
      <c r="BA259" s="5"/>
    </row>
    <row r="260" spans="2:53" ht="15.75" customHeight="1" x14ac:dyDescent="0.25">
      <c r="B260" s="5"/>
      <c r="BA260" s="5"/>
    </row>
    <row r="261" spans="2:53" ht="15.75" customHeight="1" x14ac:dyDescent="0.25">
      <c r="B261" s="5"/>
      <c r="BA261" s="5"/>
    </row>
    <row r="262" spans="2:53" ht="15.75" customHeight="1" x14ac:dyDescent="0.25">
      <c r="B262" s="5"/>
      <c r="BA262" s="5"/>
    </row>
    <row r="263" spans="2:53" ht="15.75" customHeight="1" x14ac:dyDescent="0.25">
      <c r="B263" s="5"/>
      <c r="BA263" s="5"/>
    </row>
    <row r="264" spans="2:53" ht="15.75" customHeight="1" x14ac:dyDescent="0.25">
      <c r="B264" s="5"/>
      <c r="BA264" s="5"/>
    </row>
    <row r="265" spans="2:53" ht="15.75" customHeight="1" x14ac:dyDescent="0.25">
      <c r="B265" s="5"/>
      <c r="BA265" s="5"/>
    </row>
    <row r="266" spans="2:53" ht="15.75" customHeight="1" x14ac:dyDescent="0.25">
      <c r="B266" s="5"/>
      <c r="BA266" s="5"/>
    </row>
    <row r="267" spans="2:53" ht="15.75" customHeight="1" x14ac:dyDescent="0.25">
      <c r="B267" s="5"/>
      <c r="BA267" s="5"/>
    </row>
    <row r="268" spans="2:53" ht="15.75" customHeight="1" x14ac:dyDescent="0.25">
      <c r="B268" s="5"/>
      <c r="BA268" s="5"/>
    </row>
    <row r="269" spans="2:53" ht="15.75" customHeight="1" x14ac:dyDescent="0.25">
      <c r="B269" s="5"/>
      <c r="BA269" s="5"/>
    </row>
    <row r="270" spans="2:53" ht="15.75" customHeight="1" x14ac:dyDescent="0.25">
      <c r="B270" s="5"/>
      <c r="BA270" s="5"/>
    </row>
    <row r="271" spans="2:53" ht="15.75" customHeight="1" x14ac:dyDescent="0.25">
      <c r="B271" s="5"/>
      <c r="BA271" s="5"/>
    </row>
    <row r="272" spans="2:53" ht="15.75" customHeight="1" x14ac:dyDescent="0.25">
      <c r="B272" s="5"/>
      <c r="BA272" s="5"/>
    </row>
    <row r="273" spans="2:53" ht="15.75" customHeight="1" x14ac:dyDescent="0.25">
      <c r="B273" s="5"/>
      <c r="BA273" s="5"/>
    </row>
    <row r="274" spans="2:53" ht="15.75" customHeight="1" x14ac:dyDescent="0.25">
      <c r="B274" s="5"/>
      <c r="BA274" s="5"/>
    </row>
    <row r="275" spans="2:53" ht="15.75" customHeight="1" x14ac:dyDescent="0.25">
      <c r="B275" s="5"/>
      <c r="BA275" s="5"/>
    </row>
    <row r="276" spans="2:53" ht="15.75" customHeight="1" x14ac:dyDescent="0.25">
      <c r="B276" s="5"/>
      <c r="BA276" s="5"/>
    </row>
    <row r="277" spans="2:53" ht="15.75" customHeight="1" x14ac:dyDescent="0.25">
      <c r="B277" s="5"/>
      <c r="BA277" s="5"/>
    </row>
    <row r="278" spans="2:53" ht="15.75" customHeight="1" x14ac:dyDescent="0.25">
      <c r="B278" s="5"/>
      <c r="BA278" s="5"/>
    </row>
    <row r="279" spans="2:53" ht="15.75" customHeight="1" x14ac:dyDescent="0.25">
      <c r="B279" s="5"/>
      <c r="BA279" s="5"/>
    </row>
    <row r="280" spans="2:53" ht="15.75" customHeight="1" x14ac:dyDescent="0.25">
      <c r="B280" s="5"/>
      <c r="BA280" s="5"/>
    </row>
    <row r="281" spans="2:53" ht="15.75" customHeight="1" x14ac:dyDescent="0.25">
      <c r="B281" s="5"/>
      <c r="BA281" s="5"/>
    </row>
    <row r="282" spans="2:53" ht="15.75" customHeight="1" x14ac:dyDescent="0.25">
      <c r="B282" s="5"/>
      <c r="BA282" s="5"/>
    </row>
    <row r="283" spans="2:53" ht="15.75" customHeight="1" x14ac:dyDescent="0.25">
      <c r="B283" s="5"/>
      <c r="BA283" s="5"/>
    </row>
    <row r="284" spans="2:53" ht="15.75" customHeight="1" x14ac:dyDescent="0.25">
      <c r="B284" s="5"/>
      <c r="BA284" s="5"/>
    </row>
    <row r="285" spans="2:53" ht="15.75" customHeight="1" x14ac:dyDescent="0.25">
      <c r="B285" s="5"/>
      <c r="BA285" s="5"/>
    </row>
    <row r="286" spans="2:53" ht="15.75" customHeight="1" x14ac:dyDescent="0.25">
      <c r="B286" s="5"/>
      <c r="BA286" s="5"/>
    </row>
    <row r="287" spans="2:53" ht="15.75" customHeight="1" x14ac:dyDescent="0.25">
      <c r="B287" s="5"/>
      <c r="BA287" s="5"/>
    </row>
    <row r="288" spans="2:53" ht="15.75" customHeight="1" x14ac:dyDescent="0.25">
      <c r="B288" s="5"/>
      <c r="BA288" s="5"/>
    </row>
    <row r="289" spans="2:53" ht="15.75" customHeight="1" x14ac:dyDescent="0.25">
      <c r="B289" s="5"/>
      <c r="BA289" s="5"/>
    </row>
    <row r="290" spans="2:53" ht="15.75" customHeight="1" x14ac:dyDescent="0.25">
      <c r="B290" s="5"/>
      <c r="BA290" s="5"/>
    </row>
    <row r="291" spans="2:53" ht="15.75" customHeight="1" x14ac:dyDescent="0.25">
      <c r="B291" s="5"/>
      <c r="BA291" s="5"/>
    </row>
    <row r="292" spans="2:53" ht="15.75" customHeight="1" x14ac:dyDescent="0.25">
      <c r="B292" s="5"/>
      <c r="BA292" s="5"/>
    </row>
    <row r="293" spans="2:53" ht="15.75" customHeight="1" x14ac:dyDescent="0.25">
      <c r="B293" s="5"/>
      <c r="BA293" s="5"/>
    </row>
    <row r="294" spans="2:53" ht="15.75" customHeight="1" x14ac:dyDescent="0.25">
      <c r="B294" s="5"/>
      <c r="BA294" s="5"/>
    </row>
    <row r="295" spans="2:53" ht="15.75" customHeight="1" x14ac:dyDescent="0.25">
      <c r="B295" s="5"/>
      <c r="BA295" s="5"/>
    </row>
    <row r="296" spans="2:53" ht="15.75" customHeight="1" x14ac:dyDescent="0.25">
      <c r="B296" s="5"/>
      <c r="BA296" s="5"/>
    </row>
    <row r="297" spans="2:53" ht="15.75" customHeight="1" x14ac:dyDescent="0.25">
      <c r="B297" s="5"/>
      <c r="BA297" s="5"/>
    </row>
    <row r="298" spans="2:53" ht="15.75" customHeight="1" x14ac:dyDescent="0.25">
      <c r="B298" s="5"/>
      <c r="BA298" s="5"/>
    </row>
    <row r="299" spans="2:53" ht="15.75" customHeight="1" x14ac:dyDescent="0.25">
      <c r="B299" s="5"/>
      <c r="BA299" s="5"/>
    </row>
    <row r="300" spans="2:53" ht="15.75" customHeight="1" x14ac:dyDescent="0.25">
      <c r="B300" s="5"/>
      <c r="BA300" s="5"/>
    </row>
    <row r="301" spans="2:53" ht="15.75" customHeight="1" x14ac:dyDescent="0.25">
      <c r="B301" s="5"/>
      <c r="BA301" s="5"/>
    </row>
    <row r="302" spans="2:53" ht="15.75" customHeight="1" x14ac:dyDescent="0.25">
      <c r="B302" s="5"/>
      <c r="BA302" s="5"/>
    </row>
    <row r="303" spans="2:53" ht="15.75" customHeight="1" x14ac:dyDescent="0.25">
      <c r="B303" s="5"/>
      <c r="BA303" s="5"/>
    </row>
    <row r="304" spans="2:53" ht="15.75" customHeight="1" x14ac:dyDescent="0.25">
      <c r="B304" s="5"/>
      <c r="BA304" s="5"/>
    </row>
    <row r="305" spans="2:53" ht="15.75" customHeight="1" x14ac:dyDescent="0.25">
      <c r="B305" s="5"/>
      <c r="BA305" s="5"/>
    </row>
    <row r="306" spans="2:53" ht="15.75" customHeight="1" x14ac:dyDescent="0.25">
      <c r="B306" s="5"/>
      <c r="BA306" s="5"/>
    </row>
    <row r="307" spans="2:53" ht="15.75" customHeight="1" x14ac:dyDescent="0.25">
      <c r="B307" s="5"/>
      <c r="BA307" s="5"/>
    </row>
    <row r="308" spans="2:53" ht="15.75" customHeight="1" x14ac:dyDescent="0.25">
      <c r="B308" s="5"/>
      <c r="BA308" s="5"/>
    </row>
    <row r="309" spans="2:53" ht="15.75" customHeight="1" x14ac:dyDescent="0.25">
      <c r="B309" s="5"/>
      <c r="BA309" s="5"/>
    </row>
    <row r="310" spans="2:53" ht="15.75" customHeight="1" x14ac:dyDescent="0.25">
      <c r="B310" s="5"/>
      <c r="BA310" s="5"/>
    </row>
    <row r="311" spans="2:53" ht="15.75" customHeight="1" x14ac:dyDescent="0.25">
      <c r="B311" s="5"/>
      <c r="BA311" s="5"/>
    </row>
    <row r="312" spans="2:53" ht="15.75" customHeight="1" x14ac:dyDescent="0.25">
      <c r="B312" s="5"/>
      <c r="BA312" s="5"/>
    </row>
    <row r="313" spans="2:53" ht="15.75" customHeight="1" x14ac:dyDescent="0.25">
      <c r="B313" s="5"/>
      <c r="BA313" s="5"/>
    </row>
    <row r="314" spans="2:53" ht="15.75" customHeight="1" x14ac:dyDescent="0.25">
      <c r="B314" s="5"/>
      <c r="BA314" s="5"/>
    </row>
    <row r="315" spans="2:53" ht="15.75" customHeight="1" x14ac:dyDescent="0.25">
      <c r="B315" s="5"/>
      <c r="BA315" s="5"/>
    </row>
    <row r="316" spans="2:53" ht="15.75" customHeight="1" x14ac:dyDescent="0.25">
      <c r="B316" s="5"/>
      <c r="BA316" s="5"/>
    </row>
    <row r="317" spans="2:53" ht="15.75" customHeight="1" x14ac:dyDescent="0.25">
      <c r="B317" s="5"/>
      <c r="BA317" s="5"/>
    </row>
    <row r="318" spans="2:53" ht="15.75" customHeight="1" x14ac:dyDescent="0.25">
      <c r="B318" s="5"/>
      <c r="BA318" s="5"/>
    </row>
    <row r="319" spans="2:53" ht="15.75" customHeight="1" x14ac:dyDescent="0.25">
      <c r="B319" s="5"/>
      <c r="BA319" s="5"/>
    </row>
    <row r="320" spans="2:53" ht="15.75" customHeight="1" x14ac:dyDescent="0.25">
      <c r="B320" s="5"/>
      <c r="BA320" s="5"/>
    </row>
    <row r="321" spans="2:53" ht="15.75" customHeight="1" x14ac:dyDescent="0.25">
      <c r="B321" s="5"/>
      <c r="BA321" s="5"/>
    </row>
    <row r="322" spans="2:53" ht="15.75" customHeight="1" x14ac:dyDescent="0.25">
      <c r="B322" s="5"/>
      <c r="BA322" s="5"/>
    </row>
    <row r="323" spans="2:53" ht="15.75" customHeight="1" x14ac:dyDescent="0.25">
      <c r="B323" s="5"/>
      <c r="BA323" s="5"/>
    </row>
    <row r="324" spans="2:53" ht="15.75" customHeight="1" x14ac:dyDescent="0.25">
      <c r="B324" s="5"/>
      <c r="BA324" s="5"/>
    </row>
    <row r="325" spans="2:53" ht="15.75" customHeight="1" x14ac:dyDescent="0.25">
      <c r="B325" s="5"/>
      <c r="BA325" s="5"/>
    </row>
    <row r="326" spans="2:53" ht="15.75" customHeight="1" x14ac:dyDescent="0.25">
      <c r="B326" s="5"/>
      <c r="BA326" s="5"/>
    </row>
    <row r="327" spans="2:53" ht="15.75" customHeight="1" x14ac:dyDescent="0.25">
      <c r="B327" s="5"/>
      <c r="BA327" s="5"/>
    </row>
    <row r="328" spans="2:53" ht="15.75" customHeight="1" x14ac:dyDescent="0.25">
      <c r="B328" s="5"/>
      <c r="BA328" s="5"/>
    </row>
    <row r="329" spans="2:53" ht="15.75" customHeight="1" x14ac:dyDescent="0.25">
      <c r="B329" s="5"/>
      <c r="BA329" s="5"/>
    </row>
    <row r="330" spans="2:53" ht="15.75" customHeight="1" x14ac:dyDescent="0.25">
      <c r="B330" s="5"/>
      <c r="BA330" s="5"/>
    </row>
    <row r="331" spans="2:53" ht="15.75" customHeight="1" x14ac:dyDescent="0.25">
      <c r="B331" s="5"/>
      <c r="BA331" s="5"/>
    </row>
    <row r="332" spans="2:53" ht="15.75" customHeight="1" x14ac:dyDescent="0.25">
      <c r="B332" s="5"/>
      <c r="BA332" s="5"/>
    </row>
    <row r="333" spans="2:53" ht="15.75" customHeight="1" x14ac:dyDescent="0.25">
      <c r="B333" s="5"/>
      <c r="BA333" s="5"/>
    </row>
    <row r="334" spans="2:53" ht="15.75" customHeight="1" x14ac:dyDescent="0.25">
      <c r="B334" s="5"/>
      <c r="BA334" s="5"/>
    </row>
    <row r="335" spans="2:53" ht="15.75" customHeight="1" x14ac:dyDescent="0.25">
      <c r="B335" s="5"/>
      <c r="AA335" s="4"/>
      <c r="BA335" s="5"/>
    </row>
    <row r="336" spans="2:53" ht="15.75" customHeight="1" x14ac:dyDescent="0.25">
      <c r="B336" s="5"/>
      <c r="AA336" s="4"/>
      <c r="BA336" s="5"/>
    </row>
    <row r="337" spans="2:53" ht="15.75" customHeight="1" x14ac:dyDescent="0.25">
      <c r="B337" s="5"/>
      <c r="AA337" s="4"/>
      <c r="BA337" s="5"/>
    </row>
    <row r="338" spans="2:53" ht="15.75" customHeight="1" x14ac:dyDescent="0.25">
      <c r="B338" s="5"/>
      <c r="AA338" s="4"/>
      <c r="BA338" s="5"/>
    </row>
    <row r="339" spans="2:53" ht="15.75" customHeight="1" x14ac:dyDescent="0.25">
      <c r="B339" s="5"/>
      <c r="AA339" s="4"/>
      <c r="BA339" s="5"/>
    </row>
    <row r="340" spans="2:53" ht="15.75" customHeight="1" x14ac:dyDescent="0.25">
      <c r="B340" s="5"/>
      <c r="AA340" s="4"/>
      <c r="BA340" s="5"/>
    </row>
    <row r="341" spans="2:53" ht="15.75" customHeight="1" x14ac:dyDescent="0.25">
      <c r="B341" s="5"/>
      <c r="AA341" s="4"/>
      <c r="BA341" s="5"/>
    </row>
    <row r="342" spans="2:53" ht="15.75" customHeight="1" x14ac:dyDescent="0.25">
      <c r="B342" s="5"/>
      <c r="AA342" s="4"/>
      <c r="BA342" s="5"/>
    </row>
    <row r="343" spans="2:53" ht="15.75" customHeight="1" x14ac:dyDescent="0.25">
      <c r="B343" s="5"/>
      <c r="AA343" s="4"/>
      <c r="BA343" s="5"/>
    </row>
    <row r="344" spans="2:53" ht="15.75" customHeight="1" x14ac:dyDescent="0.25">
      <c r="B344" s="5"/>
      <c r="AA344" s="4"/>
      <c r="BA344" s="5"/>
    </row>
    <row r="345" spans="2:53" ht="15.75" customHeight="1" x14ac:dyDescent="0.25">
      <c r="B345" s="5"/>
      <c r="AA345" s="4"/>
      <c r="BA345" s="5"/>
    </row>
    <row r="346" spans="2:53" ht="15.75" customHeight="1" x14ac:dyDescent="0.25">
      <c r="B346" s="5"/>
      <c r="AA346" s="4"/>
      <c r="BA346" s="5"/>
    </row>
    <row r="347" spans="2:53" ht="15.75" customHeight="1" x14ac:dyDescent="0.25">
      <c r="B347" s="5"/>
      <c r="AA347" s="4"/>
      <c r="BA347" s="5"/>
    </row>
    <row r="348" spans="2:53" ht="15.75" customHeight="1" x14ac:dyDescent="0.25">
      <c r="B348" s="5"/>
      <c r="AA348" s="4"/>
      <c r="BA348" s="5"/>
    </row>
    <row r="349" spans="2:53" ht="15.75" customHeight="1" x14ac:dyDescent="0.25">
      <c r="B349" s="5"/>
      <c r="AA349" s="4"/>
      <c r="BA349" s="5"/>
    </row>
    <row r="350" spans="2:53" ht="15.75" customHeight="1" x14ac:dyDescent="0.25">
      <c r="B350" s="5"/>
      <c r="AA350" s="4"/>
      <c r="BA350" s="5"/>
    </row>
    <row r="351" spans="2:53" ht="15.75" customHeight="1" x14ac:dyDescent="0.25">
      <c r="B351" s="5"/>
      <c r="AA351" s="4"/>
      <c r="BA351" s="5"/>
    </row>
    <row r="352" spans="2:53" ht="15.75" customHeight="1" x14ac:dyDescent="0.25">
      <c r="B352" s="5"/>
      <c r="AA352" s="4"/>
      <c r="BA352" s="5"/>
    </row>
    <row r="353" spans="2:53" ht="15.75" customHeight="1" x14ac:dyDescent="0.25">
      <c r="B353" s="5"/>
      <c r="AA353" s="4"/>
      <c r="BA353" s="5"/>
    </row>
    <row r="354" spans="2:53" ht="15.75" customHeight="1" x14ac:dyDescent="0.25">
      <c r="B354" s="5"/>
      <c r="AA354" s="4"/>
      <c r="BA354" s="5"/>
    </row>
    <row r="355" spans="2:53" ht="15.75" customHeight="1" x14ac:dyDescent="0.25">
      <c r="B355" s="5"/>
      <c r="AA355" s="4"/>
      <c r="BA355" s="5"/>
    </row>
    <row r="356" spans="2:53" ht="15.75" customHeight="1" x14ac:dyDescent="0.25">
      <c r="B356" s="5"/>
      <c r="AA356" s="4"/>
      <c r="BA356" s="5"/>
    </row>
    <row r="357" spans="2:53" ht="15.75" customHeight="1" x14ac:dyDescent="0.25">
      <c r="B357" s="5"/>
      <c r="AA357" s="4"/>
      <c r="BA357" s="5"/>
    </row>
    <row r="358" spans="2:53" ht="15.75" customHeight="1" x14ac:dyDescent="0.25">
      <c r="B358" s="5"/>
      <c r="AA358" s="4"/>
      <c r="BA358" s="5"/>
    </row>
    <row r="359" spans="2:53" ht="15.75" customHeight="1" x14ac:dyDescent="0.25">
      <c r="B359" s="5"/>
      <c r="AA359" s="4"/>
      <c r="BA359" s="5"/>
    </row>
    <row r="360" spans="2:53" ht="15.75" customHeight="1" x14ac:dyDescent="0.25">
      <c r="B360" s="5"/>
      <c r="AA360" s="4"/>
      <c r="BA360" s="5"/>
    </row>
    <row r="361" spans="2:53" ht="15.75" customHeight="1" x14ac:dyDescent="0.25">
      <c r="B361" s="5"/>
      <c r="AA361" s="4"/>
      <c r="BA361" s="5"/>
    </row>
    <row r="362" spans="2:53" ht="15.75" customHeight="1" x14ac:dyDescent="0.25">
      <c r="B362" s="5"/>
      <c r="AA362" s="4"/>
      <c r="BA362" s="5"/>
    </row>
    <row r="363" spans="2:53" ht="15.75" customHeight="1" x14ac:dyDescent="0.25">
      <c r="B363" s="5"/>
      <c r="AA363" s="4"/>
      <c r="BA363" s="5"/>
    </row>
    <row r="364" spans="2:53" ht="15.75" customHeight="1" x14ac:dyDescent="0.25">
      <c r="B364" s="5"/>
      <c r="AA364" s="4"/>
      <c r="BA364" s="5"/>
    </row>
    <row r="365" spans="2:53" ht="15.75" customHeight="1" x14ac:dyDescent="0.25">
      <c r="B365" s="5"/>
      <c r="AA365" s="4"/>
      <c r="BA365" s="5"/>
    </row>
    <row r="366" spans="2:53" ht="15.75" customHeight="1" x14ac:dyDescent="0.25">
      <c r="B366" s="5"/>
      <c r="AA366" s="4"/>
      <c r="BA366" s="5"/>
    </row>
    <row r="367" spans="2:53" ht="15.75" customHeight="1" x14ac:dyDescent="0.25">
      <c r="B367" s="5"/>
      <c r="AA367" s="4"/>
      <c r="BA367" s="5"/>
    </row>
    <row r="368" spans="2:53" ht="15.75" customHeight="1" x14ac:dyDescent="0.25">
      <c r="B368" s="5"/>
      <c r="AA368" s="4"/>
      <c r="BA368" s="5"/>
    </row>
    <row r="369" spans="2:53" ht="15.75" customHeight="1" x14ac:dyDescent="0.25">
      <c r="B369" s="5"/>
      <c r="AA369" s="4"/>
      <c r="BA369" s="5"/>
    </row>
    <row r="370" spans="2:53" ht="15.75" customHeight="1" x14ac:dyDescent="0.25">
      <c r="B370" s="5"/>
      <c r="AA370" s="4"/>
      <c r="BA370" s="5"/>
    </row>
    <row r="371" spans="2:53" ht="15.75" customHeight="1" x14ac:dyDescent="0.25">
      <c r="B371" s="5"/>
      <c r="AA371" s="4"/>
      <c r="BA371" s="5"/>
    </row>
    <row r="372" spans="2:53" ht="15.75" customHeight="1" x14ac:dyDescent="0.25">
      <c r="B372" s="5"/>
      <c r="AA372" s="4"/>
      <c r="BA372" s="5"/>
    </row>
    <row r="373" spans="2:53" ht="15.75" customHeight="1" x14ac:dyDescent="0.25">
      <c r="B373" s="5"/>
      <c r="AA373" s="4"/>
      <c r="BA373" s="5"/>
    </row>
    <row r="374" spans="2:53" ht="15.75" customHeight="1" x14ac:dyDescent="0.25">
      <c r="B374" s="5"/>
      <c r="AA374" s="4"/>
      <c r="BA374" s="5"/>
    </row>
    <row r="375" spans="2:53" ht="15.75" customHeight="1" x14ac:dyDescent="0.25">
      <c r="B375" s="5"/>
      <c r="AA375" s="4"/>
      <c r="BA375" s="5"/>
    </row>
    <row r="376" spans="2:53" ht="15.75" customHeight="1" x14ac:dyDescent="0.25">
      <c r="B376" s="5"/>
      <c r="AA376" s="4"/>
      <c r="BA376" s="5"/>
    </row>
    <row r="377" spans="2:53" ht="15.75" customHeight="1" x14ac:dyDescent="0.25">
      <c r="B377" s="5"/>
      <c r="AA377" s="4"/>
      <c r="BA377" s="5"/>
    </row>
    <row r="378" spans="2:53" ht="15.75" customHeight="1" x14ac:dyDescent="0.25">
      <c r="B378" s="5"/>
      <c r="AA378" s="4"/>
      <c r="BA378" s="5"/>
    </row>
    <row r="379" spans="2:53" ht="15.75" customHeight="1" x14ac:dyDescent="0.25">
      <c r="B379" s="5"/>
      <c r="AA379" s="4"/>
      <c r="BA379" s="5"/>
    </row>
    <row r="380" spans="2:53" ht="15.75" customHeight="1" x14ac:dyDescent="0.25">
      <c r="B380" s="5"/>
      <c r="AA380" s="4"/>
      <c r="BA380" s="5"/>
    </row>
    <row r="381" spans="2:53" ht="15.75" customHeight="1" x14ac:dyDescent="0.25">
      <c r="B381" s="5"/>
      <c r="AA381" s="4"/>
      <c r="BA381" s="5"/>
    </row>
    <row r="382" spans="2:53" ht="15.75" customHeight="1" x14ac:dyDescent="0.25">
      <c r="B382" s="5"/>
      <c r="AA382" s="4"/>
      <c r="BA382" s="5"/>
    </row>
    <row r="383" spans="2:53" ht="15.75" customHeight="1" x14ac:dyDescent="0.25">
      <c r="B383" s="5"/>
      <c r="AA383" s="4"/>
      <c r="BA383" s="5"/>
    </row>
    <row r="384" spans="2:53" ht="15.75" customHeight="1" x14ac:dyDescent="0.25">
      <c r="B384" s="5"/>
      <c r="AA384" s="4"/>
      <c r="BA384" s="5"/>
    </row>
    <row r="385" spans="2:53" ht="15.75" customHeight="1" x14ac:dyDescent="0.25">
      <c r="B385" s="5"/>
      <c r="AA385" s="4"/>
      <c r="BA385" s="5"/>
    </row>
    <row r="386" spans="2:53" ht="15.75" customHeight="1" x14ac:dyDescent="0.25">
      <c r="B386" s="5"/>
      <c r="AA386" s="4"/>
      <c r="BA386" s="5"/>
    </row>
    <row r="387" spans="2:53" ht="15.75" customHeight="1" x14ac:dyDescent="0.25">
      <c r="B387" s="5"/>
      <c r="AA387" s="4"/>
      <c r="BA387" s="5"/>
    </row>
    <row r="388" spans="2:53" ht="15.75" customHeight="1" x14ac:dyDescent="0.25">
      <c r="B388" s="5"/>
      <c r="AA388" s="4"/>
      <c r="BA388" s="5"/>
    </row>
    <row r="389" spans="2:53" ht="15.75" customHeight="1" x14ac:dyDescent="0.25">
      <c r="B389" s="5"/>
      <c r="AA389" s="4"/>
      <c r="BA389" s="5"/>
    </row>
    <row r="390" spans="2:53" ht="15.75" customHeight="1" x14ac:dyDescent="0.25">
      <c r="B390" s="5"/>
      <c r="AA390" s="4"/>
      <c r="BA390" s="5"/>
    </row>
    <row r="391" spans="2:53" ht="15.75" customHeight="1" x14ac:dyDescent="0.25">
      <c r="B391" s="5"/>
      <c r="AA391" s="4"/>
      <c r="BA391" s="5"/>
    </row>
    <row r="392" spans="2:53" ht="15.75" customHeight="1" x14ac:dyDescent="0.25">
      <c r="B392" s="5"/>
      <c r="AA392" s="4"/>
      <c r="BA392" s="5"/>
    </row>
    <row r="393" spans="2:53" ht="15.75" customHeight="1" x14ac:dyDescent="0.25">
      <c r="B393" s="5"/>
      <c r="AA393" s="4"/>
      <c r="BA393" s="5"/>
    </row>
    <row r="394" spans="2:53" ht="15.75" customHeight="1" x14ac:dyDescent="0.25">
      <c r="B394" s="5"/>
      <c r="AA394" s="4"/>
      <c r="BA394" s="5"/>
    </row>
    <row r="395" spans="2:53" ht="15.75" customHeight="1" x14ac:dyDescent="0.25">
      <c r="B395" s="5"/>
      <c r="AA395" s="4"/>
      <c r="BA395" s="5"/>
    </row>
    <row r="396" spans="2:53" ht="15.75" customHeight="1" x14ac:dyDescent="0.25">
      <c r="B396" s="5"/>
      <c r="AA396" s="4"/>
      <c r="BA396" s="5"/>
    </row>
    <row r="397" spans="2:53" ht="15.75" customHeight="1" x14ac:dyDescent="0.25">
      <c r="B397" s="5"/>
      <c r="AA397" s="4"/>
      <c r="BA397" s="5"/>
    </row>
    <row r="398" spans="2:53" ht="15.75" customHeight="1" x14ac:dyDescent="0.25">
      <c r="B398" s="5"/>
      <c r="AA398" s="4"/>
      <c r="BA398" s="5"/>
    </row>
    <row r="399" spans="2:53" ht="15.75" customHeight="1" x14ac:dyDescent="0.25">
      <c r="B399" s="5"/>
      <c r="AA399" s="4"/>
      <c r="BA399" s="5"/>
    </row>
    <row r="400" spans="2:53" ht="15.75" customHeight="1" x14ac:dyDescent="0.25">
      <c r="B400" s="5"/>
      <c r="AA400" s="4"/>
      <c r="BA400" s="5"/>
    </row>
    <row r="401" spans="2:53" ht="15.75" customHeight="1" x14ac:dyDescent="0.25">
      <c r="B401" s="5"/>
      <c r="AA401" s="4"/>
      <c r="BA401" s="5"/>
    </row>
    <row r="402" spans="2:53" ht="15.75" customHeight="1" x14ac:dyDescent="0.25">
      <c r="B402" s="5"/>
      <c r="AA402" s="4"/>
      <c r="BA402" s="5"/>
    </row>
    <row r="403" spans="2:53" ht="15.75" customHeight="1" x14ac:dyDescent="0.25">
      <c r="B403" s="5"/>
      <c r="AA403" s="4"/>
      <c r="BA403" s="5"/>
    </row>
    <row r="404" spans="2:53" ht="15.75" customHeight="1" x14ac:dyDescent="0.25">
      <c r="B404" s="5"/>
      <c r="AA404" s="4"/>
      <c r="BA404" s="5"/>
    </row>
    <row r="405" spans="2:53" ht="15.75" customHeight="1" x14ac:dyDescent="0.25">
      <c r="B405" s="5"/>
      <c r="AA405" s="4"/>
      <c r="BA405" s="5"/>
    </row>
    <row r="406" spans="2:53" ht="15.75" customHeight="1" x14ac:dyDescent="0.25">
      <c r="B406" s="5"/>
      <c r="AA406" s="4"/>
      <c r="BA406" s="5"/>
    </row>
    <row r="407" spans="2:53" ht="15.75" customHeight="1" x14ac:dyDescent="0.25">
      <c r="B407" s="5"/>
      <c r="AA407" s="4"/>
      <c r="BA407" s="5"/>
    </row>
    <row r="408" spans="2:53" ht="15.75" customHeight="1" x14ac:dyDescent="0.25">
      <c r="B408" s="5"/>
      <c r="AA408" s="4"/>
      <c r="BA408" s="5"/>
    </row>
    <row r="409" spans="2:53" ht="15.75" customHeight="1" x14ac:dyDescent="0.25">
      <c r="B409" s="5"/>
      <c r="AA409" s="4"/>
      <c r="BA409" s="5"/>
    </row>
    <row r="410" spans="2:53" ht="15.75" customHeight="1" x14ac:dyDescent="0.25">
      <c r="B410" s="5"/>
      <c r="AA410" s="4"/>
      <c r="BA410" s="5"/>
    </row>
    <row r="411" spans="2:53" ht="15.75" customHeight="1" x14ac:dyDescent="0.25">
      <c r="B411" s="5"/>
      <c r="AA411" s="4"/>
      <c r="BA411" s="5"/>
    </row>
    <row r="412" spans="2:53" ht="15.75" customHeight="1" x14ac:dyDescent="0.25">
      <c r="B412" s="5"/>
      <c r="AA412" s="4"/>
      <c r="BA412" s="5"/>
    </row>
    <row r="413" spans="2:53" ht="15.75" customHeight="1" x14ac:dyDescent="0.25">
      <c r="B413" s="5"/>
      <c r="AA413" s="4"/>
      <c r="BA413" s="5"/>
    </row>
    <row r="414" spans="2:53" ht="15.75" customHeight="1" x14ac:dyDescent="0.25">
      <c r="B414" s="5"/>
      <c r="AA414" s="4"/>
      <c r="BA414" s="5"/>
    </row>
    <row r="415" spans="2:53" ht="15.75" customHeight="1" x14ac:dyDescent="0.25">
      <c r="B415" s="5"/>
      <c r="AA415" s="4"/>
      <c r="BA415" s="5"/>
    </row>
    <row r="416" spans="2:53" ht="15.75" customHeight="1" x14ac:dyDescent="0.25">
      <c r="B416" s="5"/>
      <c r="AA416" s="4"/>
      <c r="BA416" s="5"/>
    </row>
    <row r="417" spans="2:53" ht="15.75" customHeight="1" x14ac:dyDescent="0.25">
      <c r="B417" s="5"/>
      <c r="AA417" s="4"/>
      <c r="BA417" s="5"/>
    </row>
    <row r="418" spans="2:53" ht="15.75" customHeight="1" x14ac:dyDescent="0.25">
      <c r="B418" s="5"/>
      <c r="AA418" s="4"/>
      <c r="BA418" s="5"/>
    </row>
    <row r="419" spans="2:53" ht="15.75" customHeight="1" x14ac:dyDescent="0.25">
      <c r="B419" s="5"/>
      <c r="AA419" s="4"/>
      <c r="BA419" s="5"/>
    </row>
    <row r="420" spans="2:53" ht="15.75" customHeight="1" x14ac:dyDescent="0.25">
      <c r="B420" s="5"/>
      <c r="AA420" s="4"/>
      <c r="BA420" s="5"/>
    </row>
    <row r="421" spans="2:53" ht="15.75" customHeight="1" x14ac:dyDescent="0.25">
      <c r="B421" s="5"/>
      <c r="AA421" s="4"/>
      <c r="BA421" s="5"/>
    </row>
    <row r="422" spans="2:53" ht="15.75" customHeight="1" x14ac:dyDescent="0.25">
      <c r="B422" s="5"/>
      <c r="AA422" s="4"/>
      <c r="BA422" s="5"/>
    </row>
    <row r="423" spans="2:53" ht="15.75" customHeight="1" x14ac:dyDescent="0.25">
      <c r="B423" s="5"/>
      <c r="AA423" s="4"/>
      <c r="BA423" s="5"/>
    </row>
    <row r="424" spans="2:53" ht="15.75" customHeight="1" x14ac:dyDescent="0.25">
      <c r="B424" s="5"/>
      <c r="AA424" s="4"/>
      <c r="BA424" s="5"/>
    </row>
    <row r="425" spans="2:53" ht="15.75" customHeight="1" x14ac:dyDescent="0.25">
      <c r="B425" s="5"/>
      <c r="AA425" s="4"/>
      <c r="BA425" s="5"/>
    </row>
    <row r="426" spans="2:53" ht="15.75" customHeight="1" x14ac:dyDescent="0.25">
      <c r="B426" s="5"/>
      <c r="AA426" s="4"/>
      <c r="BA426" s="5"/>
    </row>
    <row r="427" spans="2:53" ht="15.75" customHeight="1" x14ac:dyDescent="0.25">
      <c r="B427" s="5"/>
      <c r="AA427" s="4"/>
      <c r="BA427" s="5"/>
    </row>
    <row r="428" spans="2:53" ht="15.75" customHeight="1" x14ac:dyDescent="0.25">
      <c r="B428" s="5"/>
      <c r="AA428" s="4"/>
      <c r="BA428" s="5"/>
    </row>
    <row r="429" spans="2:53" ht="15.75" customHeight="1" x14ac:dyDescent="0.25">
      <c r="B429" s="5"/>
      <c r="AA429" s="4"/>
      <c r="BA429" s="5"/>
    </row>
    <row r="430" spans="2:53" ht="15.75" customHeight="1" x14ac:dyDescent="0.25">
      <c r="B430" s="5"/>
      <c r="AA430" s="4"/>
      <c r="BA430" s="5"/>
    </row>
    <row r="431" spans="2:53" ht="15.75" customHeight="1" x14ac:dyDescent="0.25">
      <c r="B431" s="5"/>
      <c r="AA431" s="4"/>
      <c r="BA431" s="5"/>
    </row>
    <row r="432" spans="2:53" ht="15.75" customHeight="1" x14ac:dyDescent="0.25">
      <c r="B432" s="5"/>
      <c r="AA432" s="4"/>
      <c r="BA432" s="5"/>
    </row>
    <row r="433" spans="2:53" ht="15.75" customHeight="1" x14ac:dyDescent="0.25">
      <c r="B433" s="5"/>
      <c r="AA433" s="4"/>
      <c r="BA433" s="5"/>
    </row>
    <row r="434" spans="2:53" ht="15.75" customHeight="1" x14ac:dyDescent="0.25">
      <c r="B434" s="5"/>
      <c r="AA434" s="4"/>
      <c r="BA434" s="5"/>
    </row>
    <row r="435" spans="2:53" ht="15.75" customHeight="1" x14ac:dyDescent="0.25">
      <c r="B435" s="5"/>
      <c r="AA435" s="4"/>
      <c r="BA435" s="5"/>
    </row>
    <row r="436" spans="2:53" ht="15.75" customHeight="1" x14ac:dyDescent="0.25">
      <c r="B436" s="5"/>
      <c r="AA436" s="4"/>
      <c r="BA436" s="5"/>
    </row>
    <row r="437" spans="2:53" ht="15.75" customHeight="1" x14ac:dyDescent="0.25">
      <c r="B437" s="5"/>
      <c r="AA437" s="4"/>
      <c r="BA437" s="5"/>
    </row>
    <row r="438" spans="2:53" ht="15.75" customHeight="1" x14ac:dyDescent="0.25">
      <c r="B438" s="5"/>
      <c r="AA438" s="4"/>
      <c r="BA438" s="5"/>
    </row>
    <row r="439" spans="2:53" ht="15.75" customHeight="1" x14ac:dyDescent="0.25">
      <c r="B439" s="5"/>
      <c r="AA439" s="4"/>
      <c r="BA439" s="5"/>
    </row>
    <row r="440" spans="2:53" ht="15.75" customHeight="1" x14ac:dyDescent="0.25">
      <c r="B440" s="5"/>
      <c r="AA440" s="4"/>
      <c r="BA440" s="5"/>
    </row>
    <row r="441" spans="2:53" ht="15.75" customHeight="1" x14ac:dyDescent="0.25">
      <c r="B441" s="5"/>
      <c r="AA441" s="4"/>
      <c r="BA441" s="5"/>
    </row>
    <row r="442" spans="2:53" ht="15.75" customHeight="1" x14ac:dyDescent="0.25">
      <c r="B442" s="5"/>
      <c r="AA442" s="4"/>
      <c r="BA442" s="5"/>
    </row>
    <row r="443" spans="2:53" ht="15.75" customHeight="1" x14ac:dyDescent="0.25">
      <c r="B443" s="5"/>
      <c r="AA443" s="4"/>
      <c r="BA443" s="5"/>
    </row>
    <row r="444" spans="2:53" ht="15.75" customHeight="1" x14ac:dyDescent="0.25">
      <c r="B444" s="5"/>
      <c r="AA444" s="4"/>
      <c r="BA444" s="5"/>
    </row>
    <row r="445" spans="2:53" ht="15.75" customHeight="1" x14ac:dyDescent="0.25">
      <c r="B445" s="5"/>
      <c r="AA445" s="4"/>
      <c r="BA445" s="5"/>
    </row>
    <row r="446" spans="2:53" ht="15.75" customHeight="1" x14ac:dyDescent="0.25">
      <c r="B446" s="5"/>
      <c r="AA446" s="4"/>
      <c r="BA446" s="5"/>
    </row>
    <row r="447" spans="2:53" ht="15.75" customHeight="1" x14ac:dyDescent="0.25">
      <c r="B447" s="5"/>
      <c r="AA447" s="4"/>
      <c r="BA447" s="5"/>
    </row>
    <row r="448" spans="2:53" ht="15.75" customHeight="1" x14ac:dyDescent="0.25">
      <c r="B448" s="5"/>
      <c r="AA448" s="4"/>
      <c r="BA448" s="5"/>
    </row>
    <row r="449" spans="2:53" ht="15.75" customHeight="1" x14ac:dyDescent="0.25">
      <c r="B449" s="5"/>
      <c r="AA449" s="4"/>
      <c r="BA449" s="5"/>
    </row>
    <row r="450" spans="2:53" ht="15.75" customHeight="1" x14ac:dyDescent="0.25">
      <c r="B450" s="5"/>
      <c r="AA450" s="4"/>
      <c r="BA450" s="5"/>
    </row>
    <row r="451" spans="2:53" ht="15.75" customHeight="1" x14ac:dyDescent="0.25">
      <c r="B451" s="5"/>
      <c r="AA451" s="4"/>
      <c r="BA451" s="5"/>
    </row>
    <row r="452" spans="2:53" ht="15.75" customHeight="1" x14ac:dyDescent="0.25">
      <c r="B452" s="5"/>
      <c r="AA452" s="4"/>
      <c r="BA452" s="5"/>
    </row>
    <row r="453" spans="2:53" ht="15.75" customHeight="1" x14ac:dyDescent="0.25">
      <c r="B453" s="5"/>
      <c r="AA453" s="4"/>
      <c r="BA453" s="5"/>
    </row>
    <row r="454" spans="2:53" ht="15.75" customHeight="1" x14ac:dyDescent="0.25">
      <c r="B454" s="5"/>
      <c r="AA454" s="4"/>
      <c r="BA454" s="5"/>
    </row>
    <row r="455" spans="2:53" ht="15.75" customHeight="1" x14ac:dyDescent="0.25">
      <c r="B455" s="5"/>
      <c r="AA455" s="4"/>
      <c r="BA455" s="5"/>
    </row>
    <row r="456" spans="2:53" ht="15.75" customHeight="1" x14ac:dyDescent="0.25">
      <c r="B456" s="5"/>
      <c r="AA456" s="4"/>
      <c r="BA456" s="5"/>
    </row>
    <row r="457" spans="2:53" ht="15.75" customHeight="1" x14ac:dyDescent="0.25">
      <c r="B457" s="5"/>
      <c r="AA457" s="4"/>
      <c r="BA457" s="5"/>
    </row>
    <row r="458" spans="2:53" ht="15.75" customHeight="1" x14ac:dyDescent="0.25">
      <c r="B458" s="5"/>
      <c r="AA458" s="4"/>
      <c r="BA458" s="5"/>
    </row>
    <row r="459" spans="2:53" ht="15.75" customHeight="1" x14ac:dyDescent="0.25">
      <c r="B459" s="5"/>
      <c r="AA459" s="4"/>
      <c r="BA459" s="5"/>
    </row>
    <row r="460" spans="2:53" ht="15.75" customHeight="1" x14ac:dyDescent="0.25">
      <c r="B460" s="5"/>
      <c r="AA460" s="4"/>
      <c r="BA460" s="5"/>
    </row>
    <row r="461" spans="2:53" ht="15.75" customHeight="1" x14ac:dyDescent="0.25">
      <c r="B461" s="5"/>
      <c r="AA461" s="4"/>
      <c r="BA461" s="5"/>
    </row>
    <row r="462" spans="2:53" ht="15.75" customHeight="1" x14ac:dyDescent="0.25">
      <c r="B462" s="5"/>
      <c r="AA462" s="4"/>
      <c r="BA462" s="5"/>
    </row>
    <row r="463" spans="2:53" ht="15.75" customHeight="1" x14ac:dyDescent="0.25">
      <c r="B463" s="5"/>
      <c r="AA463" s="4"/>
      <c r="BA463" s="5"/>
    </row>
    <row r="464" spans="2:53" ht="15.75" customHeight="1" x14ac:dyDescent="0.25">
      <c r="B464" s="5"/>
      <c r="AA464" s="4"/>
      <c r="BA464" s="5"/>
    </row>
    <row r="465" spans="2:53" ht="15.75" customHeight="1" x14ac:dyDescent="0.25">
      <c r="B465" s="5"/>
      <c r="AA465" s="4"/>
      <c r="BA465" s="5"/>
    </row>
    <row r="466" spans="2:53" ht="15.75" customHeight="1" x14ac:dyDescent="0.25">
      <c r="B466" s="5"/>
      <c r="AA466" s="4"/>
      <c r="BA466" s="5"/>
    </row>
    <row r="467" spans="2:53" ht="15.75" customHeight="1" x14ac:dyDescent="0.25">
      <c r="B467" s="5"/>
      <c r="AA467" s="4"/>
      <c r="BA467" s="5"/>
    </row>
    <row r="468" spans="2:53" ht="15.75" customHeight="1" x14ac:dyDescent="0.25">
      <c r="B468" s="5"/>
      <c r="AA468" s="4"/>
      <c r="BA468" s="5"/>
    </row>
    <row r="469" spans="2:53" ht="15.75" customHeight="1" x14ac:dyDescent="0.25">
      <c r="B469" s="5"/>
      <c r="AA469" s="4"/>
      <c r="BA469" s="5"/>
    </row>
    <row r="470" spans="2:53" ht="15.75" customHeight="1" x14ac:dyDescent="0.25">
      <c r="B470" s="5"/>
      <c r="AA470" s="4"/>
      <c r="BA470" s="5"/>
    </row>
    <row r="471" spans="2:53" ht="15.75" customHeight="1" x14ac:dyDescent="0.25">
      <c r="B471" s="5"/>
      <c r="AA471" s="4"/>
      <c r="BA471" s="5"/>
    </row>
    <row r="472" spans="2:53" ht="15.75" customHeight="1" x14ac:dyDescent="0.25">
      <c r="B472" s="5"/>
      <c r="AA472" s="4"/>
      <c r="BA472" s="5"/>
    </row>
    <row r="473" spans="2:53" ht="15.75" customHeight="1" x14ac:dyDescent="0.25">
      <c r="B473" s="5"/>
      <c r="AA473" s="4"/>
      <c r="BA473" s="5"/>
    </row>
    <row r="474" spans="2:53" ht="15.75" customHeight="1" x14ac:dyDescent="0.25">
      <c r="B474" s="5"/>
      <c r="AA474" s="4"/>
      <c r="BA474" s="5"/>
    </row>
    <row r="475" spans="2:53" ht="15.75" customHeight="1" x14ac:dyDescent="0.25">
      <c r="B475" s="5"/>
      <c r="AA475" s="4"/>
      <c r="BA475" s="5"/>
    </row>
    <row r="476" spans="2:53" ht="15.75" customHeight="1" x14ac:dyDescent="0.25">
      <c r="B476" s="5"/>
      <c r="AA476" s="4"/>
      <c r="BA476" s="5"/>
    </row>
    <row r="477" spans="2:53" ht="15.75" customHeight="1" x14ac:dyDescent="0.25">
      <c r="B477" s="5"/>
      <c r="AA477" s="4"/>
      <c r="BA477" s="5"/>
    </row>
    <row r="478" spans="2:53" ht="15.75" customHeight="1" x14ac:dyDescent="0.25">
      <c r="B478" s="5"/>
      <c r="AA478" s="4"/>
      <c r="BA478" s="5"/>
    </row>
    <row r="479" spans="2:53" ht="15.75" customHeight="1" x14ac:dyDescent="0.25">
      <c r="B479" s="5"/>
      <c r="AA479" s="4"/>
      <c r="BA479" s="5"/>
    </row>
    <row r="480" spans="2:53" ht="15.75" customHeight="1" x14ac:dyDescent="0.25">
      <c r="B480" s="5"/>
      <c r="AA480" s="4"/>
      <c r="BA480" s="5"/>
    </row>
    <row r="481" spans="2:53" ht="15.75" customHeight="1" x14ac:dyDescent="0.25">
      <c r="B481" s="5"/>
      <c r="AA481" s="4"/>
      <c r="BA481" s="5"/>
    </row>
    <row r="482" spans="2:53" ht="15.75" customHeight="1" x14ac:dyDescent="0.25">
      <c r="B482" s="5"/>
      <c r="AA482" s="4"/>
      <c r="BA482" s="5"/>
    </row>
    <row r="483" spans="2:53" ht="15.75" customHeight="1" x14ac:dyDescent="0.25">
      <c r="B483" s="5"/>
      <c r="AA483" s="4"/>
      <c r="BA483" s="5"/>
    </row>
    <row r="484" spans="2:53" ht="15.75" customHeight="1" x14ac:dyDescent="0.25">
      <c r="B484" s="5"/>
      <c r="AA484" s="4"/>
      <c r="BA484" s="5"/>
    </row>
    <row r="485" spans="2:53" ht="15.75" customHeight="1" x14ac:dyDescent="0.25">
      <c r="B485" s="5"/>
      <c r="AA485" s="4"/>
      <c r="BA485" s="5"/>
    </row>
    <row r="486" spans="2:53" ht="15.75" customHeight="1" x14ac:dyDescent="0.25">
      <c r="B486" s="5"/>
      <c r="AA486" s="4"/>
      <c r="BA486" s="5"/>
    </row>
    <row r="487" spans="2:53" ht="15.75" customHeight="1" x14ac:dyDescent="0.25">
      <c r="B487" s="5"/>
      <c r="AA487" s="4"/>
      <c r="BA487" s="5"/>
    </row>
    <row r="488" spans="2:53" ht="15.75" customHeight="1" x14ac:dyDescent="0.25">
      <c r="B488" s="5"/>
      <c r="AA488" s="4"/>
      <c r="BA488" s="5"/>
    </row>
    <row r="489" spans="2:53" ht="15.75" customHeight="1" x14ac:dyDescent="0.25">
      <c r="B489" s="5"/>
      <c r="AA489" s="4"/>
      <c r="BA489" s="5"/>
    </row>
    <row r="490" spans="2:53" ht="15.75" customHeight="1" x14ac:dyDescent="0.25">
      <c r="B490" s="5"/>
      <c r="AA490" s="4"/>
      <c r="BA490" s="5"/>
    </row>
    <row r="491" spans="2:53" ht="15.75" customHeight="1" x14ac:dyDescent="0.25">
      <c r="B491" s="5"/>
      <c r="AA491" s="4"/>
      <c r="BA491" s="5"/>
    </row>
    <row r="492" spans="2:53" ht="15.75" customHeight="1" x14ac:dyDescent="0.25">
      <c r="B492" s="5"/>
      <c r="AA492" s="4"/>
      <c r="BA492" s="5"/>
    </row>
    <row r="493" spans="2:53" ht="15.75" customHeight="1" x14ac:dyDescent="0.25">
      <c r="B493" s="5"/>
      <c r="AA493" s="4"/>
      <c r="BA493" s="5"/>
    </row>
    <row r="494" spans="2:53" ht="15.75" customHeight="1" x14ac:dyDescent="0.25">
      <c r="B494" s="5"/>
      <c r="AA494" s="4"/>
      <c r="BA494" s="5"/>
    </row>
    <row r="495" spans="2:53" ht="15.75" customHeight="1" x14ac:dyDescent="0.25">
      <c r="B495" s="5"/>
      <c r="AA495" s="4"/>
      <c r="BA495" s="5"/>
    </row>
    <row r="496" spans="2:53" ht="15.75" customHeight="1" x14ac:dyDescent="0.25">
      <c r="B496" s="5"/>
      <c r="AA496" s="4"/>
      <c r="BA496" s="5"/>
    </row>
    <row r="497" spans="2:53" ht="15.75" customHeight="1" x14ac:dyDescent="0.25">
      <c r="B497" s="5"/>
      <c r="AA497" s="4"/>
      <c r="BA497" s="5"/>
    </row>
    <row r="498" spans="2:53" ht="15.75" customHeight="1" x14ac:dyDescent="0.25">
      <c r="B498" s="5"/>
      <c r="AA498" s="4"/>
      <c r="BA498" s="5"/>
    </row>
    <row r="499" spans="2:53" ht="15.75" customHeight="1" x14ac:dyDescent="0.25">
      <c r="B499" s="5"/>
      <c r="AA499" s="4"/>
      <c r="BA499" s="5"/>
    </row>
    <row r="500" spans="2:53" ht="15.75" customHeight="1" x14ac:dyDescent="0.25">
      <c r="B500" s="5"/>
      <c r="AA500" s="4"/>
      <c r="BA500" s="5"/>
    </row>
    <row r="501" spans="2:53" ht="15.75" customHeight="1" x14ac:dyDescent="0.25">
      <c r="B501" s="5"/>
      <c r="AA501" s="4"/>
      <c r="BA501" s="5"/>
    </row>
    <row r="502" spans="2:53" ht="15.75" customHeight="1" x14ac:dyDescent="0.25">
      <c r="B502" s="5"/>
      <c r="AA502" s="4"/>
      <c r="BA502" s="5"/>
    </row>
    <row r="503" spans="2:53" ht="15.75" customHeight="1" x14ac:dyDescent="0.25">
      <c r="B503" s="5"/>
      <c r="AA503" s="4"/>
      <c r="BA503" s="5"/>
    </row>
    <row r="504" spans="2:53" ht="15.75" customHeight="1" x14ac:dyDescent="0.25">
      <c r="B504" s="5"/>
      <c r="AA504" s="4"/>
      <c r="BA504" s="5"/>
    </row>
    <row r="505" spans="2:53" ht="15.75" customHeight="1" x14ac:dyDescent="0.25">
      <c r="B505" s="5"/>
      <c r="AA505" s="4"/>
      <c r="BA505" s="5"/>
    </row>
    <row r="506" spans="2:53" ht="15.75" customHeight="1" x14ac:dyDescent="0.25">
      <c r="B506" s="5"/>
      <c r="AA506" s="4"/>
      <c r="BA506" s="5"/>
    </row>
    <row r="507" spans="2:53" ht="15.75" customHeight="1" x14ac:dyDescent="0.25">
      <c r="B507" s="5"/>
      <c r="AA507" s="4"/>
      <c r="BA507" s="5"/>
    </row>
    <row r="508" spans="2:53" ht="15.75" customHeight="1" x14ac:dyDescent="0.25">
      <c r="B508" s="5"/>
      <c r="AA508" s="4"/>
      <c r="BA508" s="5"/>
    </row>
    <row r="509" spans="2:53" ht="15.75" customHeight="1" x14ac:dyDescent="0.25">
      <c r="B509" s="5"/>
      <c r="AA509" s="4"/>
      <c r="BA509" s="5"/>
    </row>
    <row r="510" spans="2:53" ht="15.75" customHeight="1" x14ac:dyDescent="0.25">
      <c r="B510" s="5"/>
      <c r="AA510" s="4"/>
      <c r="BA510" s="5"/>
    </row>
    <row r="511" spans="2:53" ht="15.75" customHeight="1" x14ac:dyDescent="0.25">
      <c r="B511" s="5"/>
      <c r="AA511" s="4"/>
      <c r="BA511" s="5"/>
    </row>
    <row r="512" spans="2:53" ht="15.75" customHeight="1" x14ac:dyDescent="0.25">
      <c r="B512" s="5"/>
      <c r="AA512" s="4"/>
      <c r="BA512" s="5"/>
    </row>
    <row r="513" spans="2:53" ht="15.75" customHeight="1" x14ac:dyDescent="0.25">
      <c r="B513" s="5"/>
      <c r="AA513" s="4"/>
      <c r="BA513" s="5"/>
    </row>
    <row r="514" spans="2:53" ht="15.75" customHeight="1" x14ac:dyDescent="0.25">
      <c r="B514" s="5"/>
      <c r="AA514" s="4"/>
      <c r="BA514" s="5"/>
    </row>
    <row r="515" spans="2:53" ht="15.75" customHeight="1" x14ac:dyDescent="0.25">
      <c r="B515" s="5"/>
      <c r="AA515" s="4"/>
      <c r="BA515" s="5"/>
    </row>
    <row r="516" spans="2:53" ht="15.75" customHeight="1" x14ac:dyDescent="0.25">
      <c r="B516" s="5"/>
      <c r="AA516" s="4"/>
      <c r="BA516" s="5"/>
    </row>
    <row r="517" spans="2:53" ht="15.75" customHeight="1" x14ac:dyDescent="0.25">
      <c r="B517" s="5"/>
      <c r="AA517" s="4"/>
      <c r="BA517" s="5"/>
    </row>
    <row r="518" spans="2:53" ht="15.75" customHeight="1" x14ac:dyDescent="0.25">
      <c r="B518" s="5"/>
      <c r="AA518" s="4"/>
      <c r="BA518" s="5"/>
    </row>
    <row r="519" spans="2:53" ht="15.75" customHeight="1" x14ac:dyDescent="0.25">
      <c r="B519" s="5"/>
      <c r="AA519" s="4"/>
      <c r="BA519" s="5"/>
    </row>
    <row r="520" spans="2:53" ht="15.75" customHeight="1" x14ac:dyDescent="0.25">
      <c r="B520" s="5"/>
      <c r="AA520" s="4"/>
      <c r="BA520" s="5"/>
    </row>
    <row r="521" spans="2:53" ht="15.75" customHeight="1" x14ac:dyDescent="0.25">
      <c r="B521" s="5"/>
      <c r="AA521" s="4"/>
      <c r="BA521" s="5"/>
    </row>
    <row r="522" spans="2:53" ht="15.75" customHeight="1" x14ac:dyDescent="0.25">
      <c r="B522" s="5"/>
      <c r="AA522" s="4"/>
      <c r="BA522" s="5"/>
    </row>
    <row r="523" spans="2:53" ht="15.75" customHeight="1" x14ac:dyDescent="0.25">
      <c r="B523" s="5"/>
      <c r="AA523" s="4"/>
      <c r="BA523" s="5"/>
    </row>
    <row r="524" spans="2:53" ht="15.75" customHeight="1" x14ac:dyDescent="0.25">
      <c r="B524" s="5"/>
      <c r="AA524" s="4"/>
      <c r="BA524" s="5"/>
    </row>
    <row r="525" spans="2:53" ht="15.75" customHeight="1" x14ac:dyDescent="0.25">
      <c r="B525" s="5"/>
      <c r="AA525" s="4"/>
      <c r="BA525" s="5"/>
    </row>
    <row r="526" spans="2:53" ht="15.75" customHeight="1" x14ac:dyDescent="0.25">
      <c r="B526" s="5"/>
      <c r="AA526" s="4"/>
      <c r="BA526" s="5"/>
    </row>
    <row r="527" spans="2:53" ht="15.75" customHeight="1" x14ac:dyDescent="0.25">
      <c r="B527" s="5"/>
      <c r="AA527" s="4"/>
      <c r="BA527" s="5"/>
    </row>
    <row r="528" spans="2:53" ht="15.75" customHeight="1" x14ac:dyDescent="0.25">
      <c r="B528" s="5"/>
      <c r="AA528" s="4"/>
      <c r="BA528" s="5"/>
    </row>
    <row r="529" spans="2:53" ht="15.75" customHeight="1" x14ac:dyDescent="0.25">
      <c r="B529" s="5"/>
      <c r="AA529" s="4"/>
      <c r="BA529" s="5"/>
    </row>
    <row r="530" spans="2:53" ht="15.75" customHeight="1" x14ac:dyDescent="0.25">
      <c r="B530" s="5"/>
      <c r="AA530" s="4"/>
      <c r="BA530" s="5"/>
    </row>
    <row r="531" spans="2:53" ht="15.75" customHeight="1" x14ac:dyDescent="0.25">
      <c r="B531" s="5"/>
      <c r="AA531" s="4"/>
      <c r="BA531" s="5"/>
    </row>
    <row r="532" spans="2:53" ht="15.75" customHeight="1" x14ac:dyDescent="0.25">
      <c r="B532" s="5"/>
      <c r="AA532" s="4"/>
      <c r="BA532" s="5"/>
    </row>
    <row r="533" spans="2:53" ht="15.75" customHeight="1" x14ac:dyDescent="0.25">
      <c r="B533" s="5"/>
      <c r="AA533" s="4"/>
      <c r="BA533" s="5"/>
    </row>
    <row r="534" spans="2:53" ht="15.75" customHeight="1" x14ac:dyDescent="0.25">
      <c r="B534" s="5"/>
      <c r="AA534" s="4"/>
      <c r="BA534" s="5"/>
    </row>
    <row r="535" spans="2:53" ht="15.75" customHeight="1" x14ac:dyDescent="0.25">
      <c r="B535" s="5"/>
      <c r="AA535" s="4"/>
      <c r="BA535" s="5"/>
    </row>
    <row r="536" spans="2:53" ht="15.75" customHeight="1" x14ac:dyDescent="0.25">
      <c r="B536" s="5"/>
      <c r="AA536" s="4"/>
      <c r="BA536" s="5"/>
    </row>
    <row r="537" spans="2:53" ht="15.75" customHeight="1" x14ac:dyDescent="0.25">
      <c r="B537" s="5"/>
      <c r="AA537" s="4"/>
      <c r="BA537" s="5"/>
    </row>
    <row r="538" spans="2:53" ht="15.75" customHeight="1" x14ac:dyDescent="0.25">
      <c r="B538" s="5"/>
      <c r="AA538" s="4"/>
      <c r="BA538" s="5"/>
    </row>
    <row r="539" spans="2:53" ht="15.75" customHeight="1" x14ac:dyDescent="0.25">
      <c r="B539" s="5"/>
      <c r="AA539" s="4"/>
      <c r="BA539" s="5"/>
    </row>
    <row r="540" spans="2:53" ht="15.75" customHeight="1" x14ac:dyDescent="0.25">
      <c r="B540" s="5"/>
      <c r="AA540" s="4"/>
      <c r="BA540" s="5"/>
    </row>
    <row r="541" spans="2:53" ht="15.75" customHeight="1" x14ac:dyDescent="0.25">
      <c r="B541" s="5"/>
      <c r="AA541" s="4"/>
      <c r="BA541" s="5"/>
    </row>
    <row r="542" spans="2:53" ht="15.75" customHeight="1" x14ac:dyDescent="0.25">
      <c r="B542" s="5"/>
      <c r="AA542" s="4"/>
      <c r="BA542" s="5"/>
    </row>
    <row r="543" spans="2:53" ht="15.75" customHeight="1" x14ac:dyDescent="0.25">
      <c r="B543" s="5"/>
      <c r="AA543" s="4"/>
      <c r="BA543" s="5"/>
    </row>
    <row r="544" spans="2:53" ht="15.75" customHeight="1" x14ac:dyDescent="0.25">
      <c r="B544" s="5"/>
      <c r="AA544" s="4"/>
      <c r="BA544" s="5"/>
    </row>
    <row r="545" spans="2:53" ht="15.75" customHeight="1" x14ac:dyDescent="0.25">
      <c r="B545" s="5"/>
      <c r="AA545" s="4"/>
      <c r="BA545" s="5"/>
    </row>
    <row r="546" spans="2:53" ht="15.75" customHeight="1" x14ac:dyDescent="0.25">
      <c r="B546" s="5"/>
      <c r="AA546" s="4"/>
      <c r="BA546" s="5"/>
    </row>
    <row r="547" spans="2:53" ht="15.75" customHeight="1" x14ac:dyDescent="0.25">
      <c r="B547" s="5"/>
      <c r="AA547" s="4"/>
      <c r="BA547" s="5"/>
    </row>
    <row r="548" spans="2:53" ht="15.75" customHeight="1" x14ac:dyDescent="0.25">
      <c r="B548" s="5"/>
      <c r="AA548" s="4"/>
      <c r="BA548" s="5"/>
    </row>
    <row r="549" spans="2:53" ht="15.75" customHeight="1" x14ac:dyDescent="0.25">
      <c r="B549" s="5"/>
      <c r="AA549" s="4"/>
      <c r="BA549" s="5"/>
    </row>
    <row r="550" spans="2:53" ht="15.75" customHeight="1" x14ac:dyDescent="0.25">
      <c r="B550" s="5"/>
      <c r="AA550" s="4"/>
      <c r="BA550" s="5"/>
    </row>
    <row r="551" spans="2:53" ht="15.75" customHeight="1" x14ac:dyDescent="0.25">
      <c r="B551" s="5"/>
      <c r="AA551" s="4"/>
      <c r="BA551" s="5"/>
    </row>
    <row r="552" spans="2:53" ht="15.75" customHeight="1" x14ac:dyDescent="0.25">
      <c r="B552" s="5"/>
      <c r="AA552" s="4"/>
      <c r="BA552" s="5"/>
    </row>
    <row r="553" spans="2:53" ht="15.75" customHeight="1" x14ac:dyDescent="0.25">
      <c r="B553" s="5"/>
      <c r="AA553" s="4"/>
      <c r="BA553" s="5"/>
    </row>
    <row r="554" spans="2:53" ht="15.75" customHeight="1" x14ac:dyDescent="0.25">
      <c r="B554" s="5"/>
      <c r="AA554" s="4"/>
      <c r="BA554" s="5"/>
    </row>
    <row r="555" spans="2:53" ht="15.75" customHeight="1" x14ac:dyDescent="0.25">
      <c r="B555" s="5"/>
      <c r="AA555" s="4"/>
      <c r="BA555" s="5"/>
    </row>
    <row r="556" spans="2:53" ht="15.75" customHeight="1" x14ac:dyDescent="0.25">
      <c r="B556" s="5"/>
      <c r="AA556" s="4"/>
      <c r="BA556" s="5"/>
    </row>
    <row r="557" spans="2:53" ht="15.75" customHeight="1" x14ac:dyDescent="0.25">
      <c r="B557" s="5"/>
      <c r="AA557" s="4"/>
      <c r="BA557" s="5"/>
    </row>
    <row r="558" spans="2:53" ht="15.75" customHeight="1" x14ac:dyDescent="0.25">
      <c r="B558" s="5"/>
      <c r="AA558" s="4"/>
      <c r="BA558" s="5"/>
    </row>
    <row r="559" spans="2:53" ht="15.75" customHeight="1" x14ac:dyDescent="0.25">
      <c r="B559" s="5"/>
      <c r="AA559" s="4"/>
      <c r="BA559" s="5"/>
    </row>
    <row r="560" spans="2:53" ht="15.75" customHeight="1" x14ac:dyDescent="0.25">
      <c r="B560" s="5"/>
      <c r="AA560" s="4"/>
      <c r="BA560" s="5"/>
    </row>
    <row r="561" spans="2:53" ht="15.75" customHeight="1" x14ac:dyDescent="0.25">
      <c r="B561" s="5"/>
      <c r="AA561" s="4"/>
      <c r="BA561" s="5"/>
    </row>
    <row r="562" spans="2:53" ht="15.75" customHeight="1" x14ac:dyDescent="0.25">
      <c r="B562" s="5"/>
      <c r="AA562" s="4"/>
      <c r="BA562" s="5"/>
    </row>
    <row r="563" spans="2:53" ht="15.75" customHeight="1" x14ac:dyDescent="0.25">
      <c r="B563" s="5"/>
      <c r="AA563" s="4"/>
      <c r="BA563" s="5"/>
    </row>
    <row r="564" spans="2:53" ht="15.75" customHeight="1" x14ac:dyDescent="0.25">
      <c r="B564" s="5"/>
      <c r="AA564" s="4"/>
      <c r="BA564" s="5"/>
    </row>
    <row r="565" spans="2:53" ht="15.75" customHeight="1" x14ac:dyDescent="0.25">
      <c r="B565" s="5"/>
      <c r="AA565" s="4"/>
      <c r="BA565" s="5"/>
    </row>
    <row r="566" spans="2:53" ht="15.75" customHeight="1" x14ac:dyDescent="0.25">
      <c r="B566" s="5"/>
      <c r="AA566" s="4"/>
      <c r="BA566" s="5"/>
    </row>
    <row r="567" spans="2:53" ht="15.75" customHeight="1" x14ac:dyDescent="0.25">
      <c r="B567" s="5"/>
      <c r="AA567" s="4"/>
      <c r="BA567" s="5"/>
    </row>
    <row r="568" spans="2:53" ht="15.75" customHeight="1" x14ac:dyDescent="0.25">
      <c r="B568" s="5"/>
      <c r="AA568" s="4"/>
      <c r="BA568" s="5"/>
    </row>
    <row r="569" spans="2:53" ht="15.75" customHeight="1" x14ac:dyDescent="0.25">
      <c r="B569" s="5"/>
      <c r="AA569" s="4"/>
      <c r="BA569" s="5"/>
    </row>
    <row r="570" spans="2:53" ht="15.75" customHeight="1" x14ac:dyDescent="0.25">
      <c r="B570" s="5"/>
      <c r="AA570" s="4"/>
      <c r="BA570" s="5"/>
    </row>
    <row r="571" spans="2:53" ht="15.75" customHeight="1" x14ac:dyDescent="0.25">
      <c r="B571" s="5"/>
      <c r="AA571" s="4"/>
      <c r="BA571" s="5"/>
    </row>
    <row r="572" spans="2:53" ht="15.75" customHeight="1" x14ac:dyDescent="0.25">
      <c r="B572" s="5"/>
      <c r="AA572" s="4"/>
      <c r="BA572" s="5"/>
    </row>
    <row r="573" spans="2:53" ht="15.75" customHeight="1" x14ac:dyDescent="0.25">
      <c r="B573" s="5"/>
      <c r="AA573" s="4"/>
      <c r="BA573" s="5"/>
    </row>
    <row r="574" spans="2:53" ht="15.75" customHeight="1" x14ac:dyDescent="0.25">
      <c r="B574" s="5"/>
      <c r="AA574" s="4"/>
      <c r="BA574" s="5"/>
    </row>
    <row r="575" spans="2:53" ht="15.75" customHeight="1" x14ac:dyDescent="0.25">
      <c r="B575" s="5"/>
      <c r="AA575" s="4"/>
      <c r="BA575" s="5"/>
    </row>
    <row r="576" spans="2:53" ht="15.75" customHeight="1" x14ac:dyDescent="0.25">
      <c r="B576" s="5"/>
      <c r="AA576" s="4"/>
      <c r="BA576" s="5"/>
    </row>
    <row r="577" spans="2:53" ht="15.75" customHeight="1" x14ac:dyDescent="0.25">
      <c r="B577" s="5"/>
      <c r="AA577" s="4"/>
      <c r="BA577" s="5"/>
    </row>
    <row r="578" spans="2:53" ht="15.75" customHeight="1" x14ac:dyDescent="0.25">
      <c r="B578" s="5"/>
      <c r="AA578" s="4"/>
      <c r="BA578" s="5"/>
    </row>
    <row r="579" spans="2:53" ht="15.75" customHeight="1" x14ac:dyDescent="0.25">
      <c r="B579" s="5"/>
      <c r="AA579" s="4"/>
      <c r="BA579" s="5"/>
    </row>
    <row r="580" spans="2:53" ht="15.75" customHeight="1" x14ac:dyDescent="0.25">
      <c r="B580" s="5"/>
      <c r="AA580" s="4"/>
      <c r="BA580" s="5"/>
    </row>
    <row r="581" spans="2:53" ht="15.75" customHeight="1" x14ac:dyDescent="0.25">
      <c r="B581" s="5"/>
      <c r="AA581" s="4"/>
      <c r="BA581" s="5"/>
    </row>
    <row r="582" spans="2:53" ht="15.75" customHeight="1" x14ac:dyDescent="0.25">
      <c r="B582" s="5"/>
      <c r="AA582" s="4"/>
      <c r="BA582" s="5"/>
    </row>
    <row r="583" spans="2:53" ht="15.75" customHeight="1" x14ac:dyDescent="0.25">
      <c r="B583" s="5"/>
      <c r="AA583" s="4"/>
      <c r="BA583" s="5"/>
    </row>
    <row r="584" spans="2:53" ht="15.75" customHeight="1" x14ac:dyDescent="0.25">
      <c r="B584" s="5"/>
      <c r="AA584" s="4"/>
      <c r="BA584" s="5"/>
    </row>
    <row r="585" spans="2:53" ht="15.75" customHeight="1" x14ac:dyDescent="0.25">
      <c r="B585" s="5"/>
      <c r="AA585" s="4"/>
      <c r="BA585" s="5"/>
    </row>
    <row r="586" spans="2:53" ht="15.75" customHeight="1" x14ac:dyDescent="0.25">
      <c r="B586" s="5"/>
      <c r="AA586" s="4"/>
      <c r="BA586" s="5"/>
    </row>
    <row r="587" spans="2:53" ht="15.75" customHeight="1" x14ac:dyDescent="0.25">
      <c r="B587" s="5"/>
      <c r="AA587" s="4"/>
      <c r="BA587" s="5"/>
    </row>
    <row r="588" spans="2:53" ht="15.75" customHeight="1" x14ac:dyDescent="0.25">
      <c r="B588" s="5"/>
      <c r="AA588" s="4"/>
      <c r="BA588" s="5"/>
    </row>
    <row r="589" spans="2:53" ht="15.75" customHeight="1" x14ac:dyDescent="0.25">
      <c r="B589" s="5"/>
      <c r="AA589" s="4"/>
      <c r="BA589" s="5"/>
    </row>
    <row r="590" spans="2:53" ht="15.75" customHeight="1" x14ac:dyDescent="0.25">
      <c r="B590" s="5"/>
      <c r="AA590" s="4"/>
      <c r="BA590" s="5"/>
    </row>
    <row r="591" spans="2:53" ht="15.75" customHeight="1" x14ac:dyDescent="0.25">
      <c r="B591" s="5"/>
      <c r="AA591" s="4"/>
      <c r="BA591" s="5"/>
    </row>
    <row r="592" spans="2:53" ht="15.75" customHeight="1" x14ac:dyDescent="0.25">
      <c r="B592" s="5"/>
      <c r="AA592" s="4"/>
      <c r="BA592" s="5"/>
    </row>
    <row r="593" spans="2:53" ht="15.75" customHeight="1" x14ac:dyDescent="0.25">
      <c r="B593" s="5"/>
      <c r="AA593" s="4"/>
      <c r="BA593" s="5"/>
    </row>
    <row r="594" spans="2:53" ht="15.75" customHeight="1" x14ac:dyDescent="0.25">
      <c r="B594" s="5"/>
      <c r="AA594" s="4"/>
      <c r="BA594" s="5"/>
    </row>
    <row r="595" spans="2:53" ht="15.75" customHeight="1" x14ac:dyDescent="0.25">
      <c r="B595" s="5"/>
      <c r="AA595" s="4"/>
      <c r="BA595" s="5"/>
    </row>
    <row r="596" spans="2:53" ht="15.75" customHeight="1" x14ac:dyDescent="0.25">
      <c r="B596" s="5"/>
      <c r="AA596" s="4"/>
      <c r="BA596" s="5"/>
    </row>
    <row r="597" spans="2:53" ht="15.75" customHeight="1" x14ac:dyDescent="0.25">
      <c r="B597" s="5"/>
      <c r="AA597" s="4"/>
      <c r="BA597" s="5"/>
    </row>
    <row r="598" spans="2:53" ht="15.75" customHeight="1" x14ac:dyDescent="0.25">
      <c r="B598" s="5"/>
      <c r="AA598" s="4"/>
      <c r="BA598" s="5"/>
    </row>
    <row r="599" spans="2:53" ht="15.75" customHeight="1" x14ac:dyDescent="0.25">
      <c r="B599" s="5"/>
      <c r="AA599" s="4"/>
      <c r="BA599" s="5"/>
    </row>
    <row r="600" spans="2:53" ht="15.75" customHeight="1" x14ac:dyDescent="0.25">
      <c r="B600" s="5"/>
      <c r="AA600" s="4"/>
      <c r="BA600" s="5"/>
    </row>
    <row r="601" spans="2:53" ht="15.75" customHeight="1" x14ac:dyDescent="0.25">
      <c r="B601" s="5"/>
      <c r="AA601" s="4"/>
      <c r="BA601" s="5"/>
    </row>
    <row r="602" spans="2:53" ht="15.75" customHeight="1" x14ac:dyDescent="0.25">
      <c r="B602" s="5"/>
      <c r="AA602" s="4"/>
      <c r="BA602" s="5"/>
    </row>
    <row r="603" spans="2:53" ht="15.75" customHeight="1" x14ac:dyDescent="0.25">
      <c r="B603" s="5"/>
      <c r="AA603" s="4"/>
      <c r="BA603" s="5"/>
    </row>
    <row r="604" spans="2:53" ht="15.75" customHeight="1" x14ac:dyDescent="0.25">
      <c r="B604" s="5"/>
      <c r="AA604" s="4"/>
      <c r="BA604" s="5"/>
    </row>
    <row r="605" spans="2:53" ht="15.75" customHeight="1" x14ac:dyDescent="0.25">
      <c r="B605" s="5"/>
      <c r="AA605" s="4"/>
      <c r="BA605" s="5"/>
    </row>
    <row r="606" spans="2:53" ht="15.75" customHeight="1" x14ac:dyDescent="0.25">
      <c r="B606" s="5"/>
      <c r="AA606" s="4"/>
      <c r="BA606" s="5"/>
    </row>
    <row r="607" spans="2:53" ht="15.75" customHeight="1" x14ac:dyDescent="0.25">
      <c r="B607" s="5"/>
      <c r="AA607" s="4"/>
      <c r="BA607" s="5"/>
    </row>
    <row r="608" spans="2:53" ht="15.75" customHeight="1" x14ac:dyDescent="0.25">
      <c r="B608" s="5"/>
      <c r="AA608" s="4"/>
      <c r="BA608" s="5"/>
    </row>
    <row r="609" spans="2:53" ht="15.75" customHeight="1" x14ac:dyDescent="0.25">
      <c r="B609" s="5"/>
      <c r="AA609" s="4"/>
      <c r="BA609" s="5"/>
    </row>
    <row r="610" spans="2:53" ht="15.75" customHeight="1" x14ac:dyDescent="0.25">
      <c r="B610" s="5"/>
      <c r="AA610" s="4"/>
      <c r="BA610" s="5"/>
    </row>
    <row r="611" spans="2:53" ht="15.75" customHeight="1" x14ac:dyDescent="0.25">
      <c r="B611" s="5"/>
      <c r="AA611" s="4"/>
      <c r="BA611" s="5"/>
    </row>
    <row r="612" spans="2:53" ht="15.75" customHeight="1" x14ac:dyDescent="0.25">
      <c r="B612" s="5"/>
      <c r="AA612" s="4"/>
      <c r="BA612" s="5"/>
    </row>
    <row r="613" spans="2:53" ht="15.75" customHeight="1" x14ac:dyDescent="0.25">
      <c r="B613" s="5"/>
      <c r="AA613" s="4"/>
      <c r="BA613" s="5"/>
    </row>
    <row r="614" spans="2:53" ht="15.75" customHeight="1" x14ac:dyDescent="0.25">
      <c r="B614" s="5"/>
      <c r="AA614" s="4"/>
      <c r="BA614" s="5"/>
    </row>
    <row r="615" spans="2:53" ht="15.75" customHeight="1" x14ac:dyDescent="0.25">
      <c r="B615" s="5"/>
      <c r="AA615" s="4"/>
      <c r="BA615" s="5"/>
    </row>
    <row r="616" spans="2:53" ht="15.75" customHeight="1" x14ac:dyDescent="0.25">
      <c r="B616" s="5"/>
      <c r="AA616" s="4"/>
      <c r="BA616" s="5"/>
    </row>
    <row r="617" spans="2:53" ht="15.75" customHeight="1" x14ac:dyDescent="0.25">
      <c r="B617" s="5"/>
      <c r="AA617" s="4"/>
      <c r="BA617" s="5"/>
    </row>
    <row r="618" spans="2:53" ht="15.75" customHeight="1" x14ac:dyDescent="0.25">
      <c r="B618" s="5"/>
      <c r="AA618" s="4"/>
      <c r="BA618" s="5"/>
    </row>
    <row r="619" spans="2:53" ht="15.75" customHeight="1" x14ac:dyDescent="0.25">
      <c r="B619" s="5"/>
      <c r="AA619" s="4"/>
      <c r="BA619" s="5"/>
    </row>
    <row r="620" spans="2:53" ht="15.75" customHeight="1" x14ac:dyDescent="0.25">
      <c r="B620" s="5"/>
      <c r="AA620" s="4"/>
      <c r="BA620" s="5"/>
    </row>
    <row r="621" spans="2:53" ht="15.75" customHeight="1" x14ac:dyDescent="0.25">
      <c r="B621" s="5"/>
      <c r="AA621" s="4"/>
      <c r="BA621" s="5"/>
    </row>
    <row r="622" spans="2:53" ht="15.75" customHeight="1" x14ac:dyDescent="0.25">
      <c r="B622" s="5"/>
      <c r="AA622" s="4"/>
      <c r="BA622" s="5"/>
    </row>
    <row r="623" spans="2:53" ht="15.75" customHeight="1" x14ac:dyDescent="0.25">
      <c r="B623" s="5"/>
      <c r="AA623" s="4"/>
      <c r="BA623" s="5"/>
    </row>
    <row r="624" spans="2:53" ht="15.75" customHeight="1" x14ac:dyDescent="0.25">
      <c r="B624" s="5"/>
      <c r="AA624" s="4"/>
      <c r="BA624" s="5"/>
    </row>
    <row r="625" spans="2:53" ht="15.75" customHeight="1" x14ac:dyDescent="0.25">
      <c r="B625" s="5"/>
      <c r="AA625" s="4"/>
      <c r="BA625" s="5"/>
    </row>
    <row r="626" spans="2:53" ht="15.75" customHeight="1" x14ac:dyDescent="0.25">
      <c r="B626" s="5"/>
      <c r="AA626" s="4"/>
      <c r="BA626" s="5"/>
    </row>
    <row r="627" spans="2:53" ht="15.75" customHeight="1" x14ac:dyDescent="0.25">
      <c r="B627" s="5"/>
      <c r="AA627" s="4"/>
      <c r="BA627" s="5"/>
    </row>
    <row r="628" spans="2:53" ht="15.75" customHeight="1" x14ac:dyDescent="0.25">
      <c r="B628" s="5"/>
      <c r="AA628" s="4"/>
      <c r="BA628" s="5"/>
    </row>
    <row r="629" spans="2:53" ht="15.75" customHeight="1" x14ac:dyDescent="0.25">
      <c r="B629" s="5"/>
      <c r="AA629" s="4"/>
      <c r="BA629" s="5"/>
    </row>
    <row r="630" spans="2:53" ht="15.75" customHeight="1" x14ac:dyDescent="0.25">
      <c r="B630" s="5"/>
      <c r="AA630" s="4"/>
      <c r="BA630" s="5"/>
    </row>
    <row r="631" spans="2:53" ht="15.75" customHeight="1" x14ac:dyDescent="0.25">
      <c r="B631" s="5"/>
      <c r="AA631" s="4"/>
      <c r="BA631" s="5"/>
    </row>
    <row r="632" spans="2:53" ht="15.75" customHeight="1" x14ac:dyDescent="0.25">
      <c r="B632" s="5"/>
      <c r="AA632" s="4"/>
      <c r="BA632" s="5"/>
    </row>
    <row r="633" spans="2:53" ht="15.75" customHeight="1" x14ac:dyDescent="0.25">
      <c r="B633" s="5"/>
      <c r="AA633" s="4"/>
      <c r="BA633" s="5"/>
    </row>
    <row r="634" spans="2:53" ht="15.75" customHeight="1" x14ac:dyDescent="0.25">
      <c r="B634" s="5"/>
      <c r="AA634" s="4"/>
      <c r="BA634" s="5"/>
    </row>
    <row r="635" spans="2:53" ht="15.75" customHeight="1" x14ac:dyDescent="0.25">
      <c r="B635" s="5"/>
      <c r="AA635" s="4"/>
      <c r="BA635" s="5"/>
    </row>
    <row r="636" spans="2:53" ht="15.75" customHeight="1" x14ac:dyDescent="0.25">
      <c r="B636" s="5"/>
      <c r="AA636" s="4"/>
      <c r="BA636" s="5"/>
    </row>
    <row r="637" spans="2:53" ht="15.75" customHeight="1" x14ac:dyDescent="0.25">
      <c r="B637" s="5"/>
      <c r="AA637" s="4"/>
      <c r="BA637" s="5"/>
    </row>
    <row r="638" spans="2:53" ht="15.75" customHeight="1" x14ac:dyDescent="0.25">
      <c r="B638" s="5"/>
      <c r="AA638" s="4"/>
      <c r="BA638" s="5"/>
    </row>
    <row r="639" spans="2:53" ht="15.75" customHeight="1" x14ac:dyDescent="0.25">
      <c r="B639" s="5"/>
      <c r="AA639" s="4"/>
      <c r="BA639" s="5"/>
    </row>
    <row r="640" spans="2:53" ht="15.75" customHeight="1" x14ac:dyDescent="0.25">
      <c r="B640" s="5"/>
      <c r="AA640" s="4"/>
      <c r="BA640" s="5"/>
    </row>
    <row r="641" spans="2:53" ht="15.75" customHeight="1" x14ac:dyDescent="0.25">
      <c r="B641" s="5"/>
      <c r="AA641" s="4"/>
      <c r="BA641" s="5"/>
    </row>
    <row r="642" spans="2:53" ht="15.75" customHeight="1" x14ac:dyDescent="0.25">
      <c r="B642" s="5"/>
      <c r="AA642" s="4"/>
      <c r="BA642" s="5"/>
    </row>
    <row r="643" spans="2:53" ht="15.75" customHeight="1" x14ac:dyDescent="0.25">
      <c r="B643" s="5"/>
      <c r="AA643" s="4"/>
      <c r="BA643" s="5"/>
    </row>
    <row r="644" spans="2:53" ht="15.75" customHeight="1" x14ac:dyDescent="0.25">
      <c r="B644" s="5"/>
      <c r="AA644" s="4"/>
      <c r="BA644" s="5"/>
    </row>
    <row r="645" spans="2:53" ht="15.75" customHeight="1" x14ac:dyDescent="0.25">
      <c r="B645" s="5"/>
      <c r="AA645" s="4"/>
      <c r="BA645" s="5"/>
    </row>
    <row r="646" spans="2:53" ht="15.75" customHeight="1" x14ac:dyDescent="0.25">
      <c r="B646" s="5"/>
      <c r="AA646" s="4"/>
      <c r="BA646" s="5"/>
    </row>
    <row r="647" spans="2:53" ht="15.75" customHeight="1" x14ac:dyDescent="0.25">
      <c r="B647" s="5"/>
      <c r="AA647" s="4"/>
      <c r="BA647" s="5"/>
    </row>
    <row r="648" spans="2:53" ht="15.75" customHeight="1" x14ac:dyDescent="0.25">
      <c r="B648" s="5"/>
      <c r="AA648" s="4"/>
      <c r="BA648" s="5"/>
    </row>
    <row r="649" spans="2:53" ht="15.75" customHeight="1" x14ac:dyDescent="0.25">
      <c r="B649" s="5"/>
      <c r="AA649" s="4"/>
      <c r="BA649" s="5"/>
    </row>
    <row r="650" spans="2:53" ht="15.75" customHeight="1" x14ac:dyDescent="0.25">
      <c r="B650" s="5"/>
      <c r="AA650" s="4"/>
      <c r="BA650" s="5"/>
    </row>
    <row r="651" spans="2:53" ht="15.75" customHeight="1" x14ac:dyDescent="0.25">
      <c r="B651" s="5"/>
      <c r="AA651" s="4"/>
      <c r="BA651" s="5"/>
    </row>
    <row r="652" spans="2:53" ht="15.75" customHeight="1" x14ac:dyDescent="0.25">
      <c r="B652" s="5"/>
      <c r="AA652" s="4"/>
      <c r="BA652" s="5"/>
    </row>
    <row r="653" spans="2:53" ht="15.75" customHeight="1" x14ac:dyDescent="0.25">
      <c r="B653" s="5"/>
      <c r="AA653" s="4"/>
      <c r="BA653" s="5"/>
    </row>
    <row r="654" spans="2:53" ht="15.75" customHeight="1" x14ac:dyDescent="0.25">
      <c r="B654" s="5"/>
      <c r="AA654" s="4"/>
      <c r="BA654" s="5"/>
    </row>
    <row r="655" spans="2:53" ht="15.75" customHeight="1" x14ac:dyDescent="0.25">
      <c r="B655" s="5"/>
      <c r="AA655" s="4"/>
      <c r="BA655" s="5"/>
    </row>
    <row r="656" spans="2:53" ht="15.75" customHeight="1" x14ac:dyDescent="0.25">
      <c r="B656" s="5"/>
      <c r="AA656" s="4"/>
      <c r="BA656" s="5"/>
    </row>
    <row r="657" spans="2:53" ht="15.75" customHeight="1" x14ac:dyDescent="0.25">
      <c r="B657" s="5"/>
      <c r="AA657" s="4"/>
      <c r="BA657" s="5"/>
    </row>
    <row r="658" spans="2:53" ht="15.75" customHeight="1" x14ac:dyDescent="0.25">
      <c r="B658" s="5"/>
      <c r="AA658" s="4"/>
      <c r="BA658" s="5"/>
    </row>
    <row r="659" spans="2:53" ht="15.75" customHeight="1" x14ac:dyDescent="0.25">
      <c r="B659" s="5"/>
      <c r="AA659" s="4"/>
      <c r="BA659" s="5"/>
    </row>
    <row r="660" spans="2:53" ht="15.75" customHeight="1" x14ac:dyDescent="0.25">
      <c r="B660" s="5"/>
      <c r="AA660" s="4"/>
      <c r="BA660" s="5"/>
    </row>
    <row r="661" spans="2:53" ht="15.75" customHeight="1" x14ac:dyDescent="0.25">
      <c r="B661" s="5"/>
      <c r="AA661" s="4"/>
      <c r="BA661" s="5"/>
    </row>
    <row r="662" spans="2:53" ht="15.75" customHeight="1" x14ac:dyDescent="0.25">
      <c r="B662" s="5"/>
      <c r="AA662" s="4"/>
      <c r="BA662" s="5"/>
    </row>
    <row r="663" spans="2:53" ht="15.75" customHeight="1" x14ac:dyDescent="0.25">
      <c r="B663" s="5"/>
      <c r="AA663" s="4"/>
      <c r="BA663" s="5"/>
    </row>
    <row r="664" spans="2:53" ht="15.75" customHeight="1" x14ac:dyDescent="0.25">
      <c r="B664" s="5"/>
      <c r="AA664" s="4"/>
      <c r="BA664" s="5"/>
    </row>
    <row r="665" spans="2:53" ht="15.75" customHeight="1" x14ac:dyDescent="0.25">
      <c r="B665" s="5"/>
      <c r="AA665" s="4"/>
      <c r="BA665" s="5"/>
    </row>
    <row r="666" spans="2:53" ht="15.75" customHeight="1" x14ac:dyDescent="0.25">
      <c r="B666" s="5"/>
      <c r="AA666" s="4"/>
      <c r="BA666" s="5"/>
    </row>
    <row r="667" spans="2:53" ht="15.75" customHeight="1" x14ac:dyDescent="0.25">
      <c r="B667" s="5"/>
      <c r="AA667" s="4"/>
      <c r="BA667" s="5"/>
    </row>
    <row r="668" spans="2:53" ht="15.75" customHeight="1" x14ac:dyDescent="0.25">
      <c r="B668" s="5"/>
      <c r="AA668" s="4"/>
      <c r="BA668" s="5"/>
    </row>
    <row r="669" spans="2:53" ht="15.75" customHeight="1" x14ac:dyDescent="0.25">
      <c r="B669" s="5"/>
      <c r="AA669" s="4"/>
      <c r="BA669" s="5"/>
    </row>
    <row r="670" spans="2:53" ht="15.75" customHeight="1" x14ac:dyDescent="0.25">
      <c r="B670" s="5"/>
      <c r="AA670" s="4"/>
      <c r="BA670" s="5"/>
    </row>
    <row r="671" spans="2:53" ht="15.75" customHeight="1" x14ac:dyDescent="0.25">
      <c r="B671" s="5"/>
      <c r="AA671" s="4"/>
      <c r="BA671" s="5"/>
    </row>
    <row r="672" spans="2:53" ht="15.75" customHeight="1" x14ac:dyDescent="0.25">
      <c r="B672" s="5"/>
      <c r="AA672" s="4"/>
      <c r="BA672" s="5"/>
    </row>
    <row r="673" spans="2:53" ht="15.75" customHeight="1" x14ac:dyDescent="0.25">
      <c r="B673" s="5"/>
      <c r="AA673" s="4"/>
      <c r="BA673" s="5"/>
    </row>
    <row r="674" spans="2:53" ht="15.75" customHeight="1" x14ac:dyDescent="0.25">
      <c r="B674" s="5"/>
      <c r="AA674" s="4"/>
      <c r="BA674" s="5"/>
    </row>
    <row r="675" spans="2:53" ht="15.75" customHeight="1" x14ac:dyDescent="0.25">
      <c r="B675" s="5"/>
      <c r="AA675" s="4"/>
      <c r="BA675" s="5"/>
    </row>
    <row r="676" spans="2:53" ht="15.75" customHeight="1" x14ac:dyDescent="0.25">
      <c r="B676" s="5"/>
      <c r="AA676" s="4"/>
      <c r="BA676" s="5"/>
    </row>
    <row r="677" spans="2:53" ht="15.75" customHeight="1" x14ac:dyDescent="0.25">
      <c r="B677" s="5"/>
      <c r="AA677" s="4"/>
      <c r="BA677" s="5"/>
    </row>
    <row r="678" spans="2:53" ht="15.75" customHeight="1" x14ac:dyDescent="0.25">
      <c r="B678" s="5"/>
      <c r="AA678" s="4"/>
      <c r="BA678" s="5"/>
    </row>
    <row r="679" spans="2:53" ht="15.75" customHeight="1" x14ac:dyDescent="0.25">
      <c r="B679" s="5"/>
      <c r="AA679" s="4"/>
      <c r="BA679" s="5"/>
    </row>
    <row r="680" spans="2:53" ht="15.75" customHeight="1" x14ac:dyDescent="0.25">
      <c r="B680" s="5"/>
      <c r="AA680" s="4"/>
      <c r="BA680" s="5"/>
    </row>
    <row r="681" spans="2:53" ht="15.75" customHeight="1" x14ac:dyDescent="0.25">
      <c r="B681" s="5"/>
      <c r="AA681" s="4"/>
      <c r="BA681" s="5"/>
    </row>
    <row r="682" spans="2:53" ht="15.75" customHeight="1" x14ac:dyDescent="0.25">
      <c r="B682" s="5"/>
      <c r="AA682" s="4"/>
      <c r="BA682" s="5"/>
    </row>
    <row r="683" spans="2:53" ht="15.75" customHeight="1" x14ac:dyDescent="0.25">
      <c r="B683" s="5"/>
      <c r="AA683" s="4"/>
      <c r="BA683" s="5"/>
    </row>
    <row r="684" spans="2:53" ht="15.75" customHeight="1" x14ac:dyDescent="0.25">
      <c r="B684" s="5"/>
      <c r="AA684" s="4"/>
      <c r="BA684" s="5"/>
    </row>
    <row r="685" spans="2:53" ht="15.75" customHeight="1" x14ac:dyDescent="0.25">
      <c r="B685" s="5"/>
      <c r="AA685" s="4"/>
      <c r="BA685" s="5"/>
    </row>
    <row r="686" spans="2:53" ht="15.75" customHeight="1" x14ac:dyDescent="0.25">
      <c r="B686" s="5"/>
      <c r="AA686" s="4"/>
      <c r="BA686" s="5"/>
    </row>
    <row r="687" spans="2:53" ht="15.75" customHeight="1" x14ac:dyDescent="0.25">
      <c r="B687" s="5"/>
      <c r="AA687" s="4"/>
      <c r="BA687" s="5"/>
    </row>
    <row r="688" spans="2:53" ht="15.75" customHeight="1" x14ac:dyDescent="0.25">
      <c r="B688" s="5"/>
      <c r="AA688" s="4"/>
      <c r="BA688" s="5"/>
    </row>
    <row r="689" spans="2:53" ht="15.75" customHeight="1" x14ac:dyDescent="0.25">
      <c r="B689" s="5"/>
      <c r="AA689" s="4"/>
      <c r="BA689" s="5"/>
    </row>
    <row r="690" spans="2:53" ht="15.75" customHeight="1" x14ac:dyDescent="0.25">
      <c r="B690" s="5"/>
      <c r="AA690" s="4"/>
      <c r="BA690" s="5"/>
    </row>
    <row r="691" spans="2:53" ht="15.75" customHeight="1" x14ac:dyDescent="0.25">
      <c r="B691" s="5"/>
      <c r="AA691" s="4"/>
      <c r="BA691" s="5"/>
    </row>
    <row r="692" spans="2:53" ht="15.75" customHeight="1" x14ac:dyDescent="0.25">
      <c r="B692" s="5"/>
      <c r="AA692" s="4"/>
      <c r="BA692" s="5"/>
    </row>
    <row r="693" spans="2:53" ht="15.75" customHeight="1" x14ac:dyDescent="0.25">
      <c r="B693" s="5"/>
      <c r="AA693" s="4"/>
      <c r="BA693" s="5"/>
    </row>
    <row r="694" spans="2:53" ht="15.75" customHeight="1" x14ac:dyDescent="0.25">
      <c r="B694" s="5"/>
      <c r="AA694" s="4"/>
      <c r="BA694" s="5"/>
    </row>
    <row r="695" spans="2:53" ht="15.75" customHeight="1" x14ac:dyDescent="0.25">
      <c r="B695" s="5"/>
      <c r="AA695" s="4"/>
      <c r="BA695" s="5"/>
    </row>
    <row r="696" spans="2:53" ht="15.75" customHeight="1" x14ac:dyDescent="0.25">
      <c r="B696" s="5"/>
      <c r="AA696" s="4"/>
      <c r="BA696" s="5"/>
    </row>
    <row r="697" spans="2:53" ht="15.75" customHeight="1" x14ac:dyDescent="0.25">
      <c r="B697" s="5"/>
      <c r="AA697" s="4"/>
      <c r="BA697" s="5"/>
    </row>
    <row r="698" spans="2:53" ht="15.75" customHeight="1" x14ac:dyDescent="0.25">
      <c r="B698" s="5"/>
      <c r="AA698" s="4"/>
      <c r="BA698" s="5"/>
    </row>
    <row r="699" spans="2:53" ht="15.75" customHeight="1" x14ac:dyDescent="0.25">
      <c r="B699" s="5"/>
      <c r="AA699" s="4"/>
      <c r="BA699" s="5"/>
    </row>
    <row r="700" spans="2:53" ht="15.75" customHeight="1" x14ac:dyDescent="0.25">
      <c r="B700" s="5"/>
      <c r="AA700" s="4"/>
      <c r="BA700" s="5"/>
    </row>
    <row r="701" spans="2:53" ht="15.75" customHeight="1" x14ac:dyDescent="0.25">
      <c r="B701" s="5"/>
      <c r="AA701" s="4"/>
      <c r="BA701" s="5"/>
    </row>
    <row r="702" spans="2:53" ht="15.75" customHeight="1" x14ac:dyDescent="0.25">
      <c r="B702" s="5"/>
      <c r="AA702" s="4"/>
      <c r="BA702" s="5"/>
    </row>
    <row r="703" spans="2:53" ht="15.75" customHeight="1" x14ac:dyDescent="0.25">
      <c r="B703" s="5"/>
      <c r="AA703" s="4"/>
      <c r="BA703" s="5"/>
    </row>
    <row r="704" spans="2:53" ht="15.75" customHeight="1" x14ac:dyDescent="0.25">
      <c r="B704" s="5"/>
      <c r="AA704" s="4"/>
      <c r="BA704" s="5"/>
    </row>
    <row r="705" spans="2:53" ht="15.75" customHeight="1" x14ac:dyDescent="0.25">
      <c r="B705" s="5"/>
      <c r="AA705" s="4"/>
      <c r="BA705" s="5"/>
    </row>
    <row r="706" spans="2:53" ht="15.75" customHeight="1" x14ac:dyDescent="0.25">
      <c r="B706" s="5"/>
      <c r="AA706" s="4"/>
      <c r="BA706" s="5"/>
    </row>
    <row r="707" spans="2:53" ht="15.75" customHeight="1" x14ac:dyDescent="0.25">
      <c r="B707" s="5"/>
      <c r="AA707" s="4"/>
      <c r="BA707" s="5"/>
    </row>
    <row r="708" spans="2:53" ht="15.75" customHeight="1" x14ac:dyDescent="0.25">
      <c r="B708" s="5"/>
      <c r="AA708" s="4"/>
      <c r="BA708" s="5"/>
    </row>
    <row r="709" spans="2:53" ht="15.75" customHeight="1" x14ac:dyDescent="0.25">
      <c r="B709" s="5"/>
      <c r="AA709" s="4"/>
      <c r="BA709" s="5"/>
    </row>
    <row r="710" spans="2:53" ht="15.75" customHeight="1" x14ac:dyDescent="0.25">
      <c r="B710" s="5"/>
      <c r="AA710" s="4"/>
      <c r="BA710" s="5"/>
    </row>
    <row r="711" spans="2:53" ht="15.75" customHeight="1" x14ac:dyDescent="0.25">
      <c r="B711" s="5"/>
      <c r="AA711" s="4"/>
      <c r="BA711" s="5"/>
    </row>
    <row r="712" spans="2:53" ht="15.75" customHeight="1" x14ac:dyDescent="0.25">
      <c r="B712" s="5"/>
      <c r="AA712" s="4"/>
      <c r="BA712" s="5"/>
    </row>
    <row r="713" spans="2:53" ht="15.75" customHeight="1" x14ac:dyDescent="0.25">
      <c r="B713" s="5"/>
      <c r="AA713" s="4"/>
      <c r="BA713" s="5"/>
    </row>
    <row r="714" spans="2:53" ht="15.75" customHeight="1" x14ac:dyDescent="0.25">
      <c r="B714" s="5"/>
      <c r="AA714" s="4"/>
      <c r="BA714" s="5"/>
    </row>
    <row r="715" spans="2:53" ht="15.75" customHeight="1" x14ac:dyDescent="0.25">
      <c r="B715" s="5"/>
      <c r="AA715" s="4"/>
      <c r="BA715" s="5"/>
    </row>
    <row r="716" spans="2:53" ht="15.75" customHeight="1" x14ac:dyDescent="0.25">
      <c r="B716" s="5"/>
      <c r="AA716" s="4"/>
      <c r="BA716" s="5"/>
    </row>
    <row r="717" spans="2:53" ht="15.75" customHeight="1" x14ac:dyDescent="0.25">
      <c r="B717" s="5"/>
      <c r="AA717" s="4"/>
      <c r="BA717" s="5"/>
    </row>
    <row r="718" spans="2:53" ht="15.75" customHeight="1" x14ac:dyDescent="0.25">
      <c r="B718" s="5"/>
      <c r="AA718" s="4"/>
      <c r="BA718" s="5"/>
    </row>
    <row r="719" spans="2:53" ht="15.75" customHeight="1" x14ac:dyDescent="0.25">
      <c r="B719" s="5"/>
      <c r="AA719" s="4"/>
      <c r="BA719" s="5"/>
    </row>
    <row r="720" spans="2:53" ht="15.75" customHeight="1" x14ac:dyDescent="0.25">
      <c r="B720" s="5"/>
      <c r="AA720" s="4"/>
      <c r="BA720" s="5"/>
    </row>
    <row r="721" spans="2:53" ht="15.75" customHeight="1" x14ac:dyDescent="0.25">
      <c r="B721" s="5"/>
      <c r="AA721" s="4"/>
      <c r="BA721" s="5"/>
    </row>
    <row r="722" spans="2:53" ht="15.75" customHeight="1" x14ac:dyDescent="0.25">
      <c r="B722" s="5"/>
      <c r="AA722" s="4"/>
      <c r="BA722" s="5"/>
    </row>
    <row r="723" spans="2:53" ht="15.75" customHeight="1" x14ac:dyDescent="0.25">
      <c r="B723" s="5"/>
      <c r="AA723" s="4"/>
      <c r="BA723" s="5"/>
    </row>
    <row r="724" spans="2:53" ht="15.75" customHeight="1" x14ac:dyDescent="0.25">
      <c r="B724" s="5"/>
      <c r="AA724" s="4"/>
      <c r="BA724" s="5"/>
    </row>
    <row r="725" spans="2:53" ht="15.75" customHeight="1" x14ac:dyDescent="0.25">
      <c r="B725" s="5"/>
      <c r="AA725" s="4"/>
      <c r="BA725" s="5"/>
    </row>
    <row r="726" spans="2:53" ht="15.75" customHeight="1" x14ac:dyDescent="0.25">
      <c r="B726" s="5"/>
      <c r="AA726" s="4"/>
      <c r="BA726" s="5"/>
    </row>
    <row r="727" spans="2:53" ht="15.75" customHeight="1" x14ac:dyDescent="0.25">
      <c r="B727" s="5"/>
      <c r="AA727" s="4"/>
      <c r="BA727" s="5"/>
    </row>
    <row r="728" spans="2:53" ht="15.75" customHeight="1" x14ac:dyDescent="0.25">
      <c r="B728" s="5"/>
      <c r="AA728" s="4"/>
      <c r="BA728" s="5"/>
    </row>
    <row r="729" spans="2:53" ht="15.75" customHeight="1" x14ac:dyDescent="0.25">
      <c r="B729" s="5"/>
      <c r="AA729" s="4"/>
      <c r="BA729" s="5"/>
    </row>
    <row r="730" spans="2:53" ht="15.75" customHeight="1" x14ac:dyDescent="0.25">
      <c r="B730" s="5"/>
      <c r="AA730" s="4"/>
      <c r="BA730" s="5"/>
    </row>
    <row r="731" spans="2:53" ht="15.75" customHeight="1" x14ac:dyDescent="0.25">
      <c r="B731" s="5"/>
      <c r="AA731" s="4"/>
      <c r="BA731" s="5"/>
    </row>
    <row r="732" spans="2:53" ht="15.75" customHeight="1" x14ac:dyDescent="0.25">
      <c r="B732" s="5"/>
      <c r="AA732" s="4"/>
      <c r="BA732" s="5"/>
    </row>
    <row r="733" spans="2:53" ht="15.75" customHeight="1" x14ac:dyDescent="0.25">
      <c r="B733" s="5"/>
      <c r="AA733" s="4"/>
      <c r="BA733" s="5"/>
    </row>
    <row r="734" spans="2:53" ht="15.75" customHeight="1" x14ac:dyDescent="0.25">
      <c r="B734" s="5"/>
      <c r="AA734" s="4"/>
      <c r="BA734" s="5"/>
    </row>
    <row r="735" spans="2:53" ht="15.75" customHeight="1" x14ac:dyDescent="0.25">
      <c r="B735" s="5"/>
      <c r="AA735" s="4"/>
      <c r="BA735" s="5"/>
    </row>
    <row r="736" spans="2:53" ht="15.75" customHeight="1" x14ac:dyDescent="0.25">
      <c r="B736" s="5"/>
      <c r="AA736" s="4"/>
      <c r="BA736" s="5"/>
    </row>
    <row r="737" spans="2:53" ht="15.75" customHeight="1" x14ac:dyDescent="0.25">
      <c r="B737" s="5"/>
      <c r="AA737" s="4"/>
      <c r="BA737" s="5"/>
    </row>
    <row r="738" spans="2:53" ht="15.75" customHeight="1" x14ac:dyDescent="0.25">
      <c r="B738" s="5"/>
      <c r="AA738" s="4"/>
      <c r="BA738" s="5"/>
    </row>
    <row r="739" spans="2:53" ht="15.75" customHeight="1" x14ac:dyDescent="0.25">
      <c r="B739" s="5"/>
      <c r="AA739" s="4"/>
      <c r="BA739" s="5"/>
    </row>
    <row r="740" spans="2:53" ht="15.75" customHeight="1" x14ac:dyDescent="0.25">
      <c r="B740" s="5"/>
      <c r="AA740" s="4"/>
      <c r="BA740" s="5"/>
    </row>
    <row r="741" spans="2:53" ht="15.75" customHeight="1" x14ac:dyDescent="0.25">
      <c r="B741" s="5"/>
      <c r="AA741" s="4"/>
      <c r="BA741" s="5"/>
    </row>
    <row r="742" spans="2:53" ht="15.75" customHeight="1" x14ac:dyDescent="0.25">
      <c r="B742" s="5"/>
      <c r="AA742" s="4"/>
      <c r="BA742" s="5"/>
    </row>
    <row r="743" spans="2:53" ht="15.75" customHeight="1" x14ac:dyDescent="0.25">
      <c r="B743" s="5"/>
      <c r="AA743" s="4"/>
      <c r="BA743" s="5"/>
    </row>
    <row r="744" spans="2:53" ht="15.75" customHeight="1" x14ac:dyDescent="0.25">
      <c r="B744" s="5"/>
      <c r="AA744" s="4"/>
      <c r="BA744" s="5"/>
    </row>
    <row r="745" spans="2:53" ht="15.75" customHeight="1" x14ac:dyDescent="0.25">
      <c r="B745" s="5"/>
      <c r="AA745" s="4"/>
      <c r="BA745" s="5"/>
    </row>
    <row r="746" spans="2:53" ht="15.75" customHeight="1" x14ac:dyDescent="0.25">
      <c r="B746" s="5"/>
      <c r="AA746" s="4"/>
      <c r="BA746" s="5"/>
    </row>
    <row r="747" spans="2:53" ht="15.75" customHeight="1" x14ac:dyDescent="0.25">
      <c r="B747" s="5"/>
      <c r="AA747" s="4"/>
      <c r="BA747" s="5"/>
    </row>
    <row r="748" spans="2:53" ht="15.75" customHeight="1" x14ac:dyDescent="0.25">
      <c r="B748" s="5"/>
      <c r="AA748" s="4"/>
      <c r="BA748" s="5"/>
    </row>
    <row r="749" spans="2:53" ht="15.75" customHeight="1" x14ac:dyDescent="0.25">
      <c r="B749" s="5"/>
      <c r="AA749" s="4"/>
      <c r="BA749" s="5"/>
    </row>
    <row r="750" spans="2:53" ht="15.75" customHeight="1" x14ac:dyDescent="0.25">
      <c r="B750" s="5"/>
      <c r="AA750" s="4"/>
      <c r="BA750" s="5"/>
    </row>
    <row r="751" spans="2:53" ht="15.75" customHeight="1" x14ac:dyDescent="0.25">
      <c r="B751" s="5"/>
      <c r="AA751" s="4"/>
      <c r="BA751" s="5"/>
    </row>
    <row r="752" spans="2:53" ht="15.75" customHeight="1" x14ac:dyDescent="0.25">
      <c r="B752" s="5"/>
      <c r="AA752" s="4"/>
      <c r="BA752" s="5"/>
    </row>
    <row r="753" spans="2:53" ht="15.75" customHeight="1" x14ac:dyDescent="0.25">
      <c r="B753" s="5"/>
      <c r="AA753" s="4"/>
      <c r="BA753" s="5"/>
    </row>
    <row r="754" spans="2:53" ht="15.75" customHeight="1" x14ac:dyDescent="0.25">
      <c r="B754" s="5"/>
      <c r="AA754" s="4"/>
      <c r="BA754" s="5"/>
    </row>
    <row r="755" spans="2:53" ht="15.75" customHeight="1" x14ac:dyDescent="0.25">
      <c r="B755" s="5"/>
      <c r="AA755" s="4"/>
      <c r="BA755" s="5"/>
    </row>
    <row r="756" spans="2:53" ht="15.75" customHeight="1" x14ac:dyDescent="0.25">
      <c r="B756" s="5"/>
      <c r="AA756" s="4"/>
      <c r="BA756" s="5"/>
    </row>
    <row r="757" spans="2:53" ht="15.75" customHeight="1" x14ac:dyDescent="0.25">
      <c r="B757" s="5"/>
      <c r="AA757" s="4"/>
      <c r="BA757" s="5"/>
    </row>
    <row r="758" spans="2:53" ht="15.75" customHeight="1" x14ac:dyDescent="0.25">
      <c r="B758" s="5"/>
      <c r="AA758" s="4"/>
      <c r="BA758" s="5"/>
    </row>
    <row r="759" spans="2:53" ht="15.75" customHeight="1" x14ac:dyDescent="0.25">
      <c r="B759" s="5"/>
      <c r="AA759" s="4"/>
      <c r="BA759" s="5"/>
    </row>
    <row r="760" spans="2:53" ht="15.75" customHeight="1" x14ac:dyDescent="0.25">
      <c r="B760" s="5"/>
      <c r="AA760" s="4"/>
      <c r="BA760" s="5"/>
    </row>
    <row r="761" spans="2:53" ht="15.75" customHeight="1" x14ac:dyDescent="0.25">
      <c r="B761" s="5"/>
      <c r="AA761" s="4"/>
      <c r="BA761" s="5"/>
    </row>
    <row r="762" spans="2:53" ht="15.75" customHeight="1" x14ac:dyDescent="0.25">
      <c r="B762" s="5"/>
      <c r="AA762" s="4"/>
      <c r="BA762" s="5"/>
    </row>
    <row r="763" spans="2:53" ht="15.75" customHeight="1" x14ac:dyDescent="0.25">
      <c r="B763" s="5"/>
      <c r="AA763" s="4"/>
      <c r="BA763" s="5"/>
    </row>
    <row r="764" spans="2:53" ht="15.75" customHeight="1" x14ac:dyDescent="0.25">
      <c r="B764" s="5"/>
      <c r="AA764" s="4"/>
      <c r="BA764" s="5"/>
    </row>
    <row r="765" spans="2:53" ht="15.75" customHeight="1" x14ac:dyDescent="0.25">
      <c r="B765" s="5"/>
      <c r="AA765" s="4"/>
      <c r="BA765" s="5"/>
    </row>
    <row r="766" spans="2:53" ht="15.75" customHeight="1" x14ac:dyDescent="0.25">
      <c r="B766" s="5"/>
      <c r="AA766" s="4"/>
      <c r="BA766" s="5"/>
    </row>
    <row r="767" spans="2:53" ht="15.75" customHeight="1" x14ac:dyDescent="0.25">
      <c r="B767" s="5"/>
      <c r="AA767" s="4"/>
      <c r="BA767" s="5"/>
    </row>
    <row r="768" spans="2:53" ht="15.75" customHeight="1" x14ac:dyDescent="0.25">
      <c r="B768" s="5"/>
      <c r="AA768" s="4"/>
      <c r="BA768" s="5"/>
    </row>
    <row r="769" spans="2:53" ht="15.75" customHeight="1" x14ac:dyDescent="0.25">
      <c r="B769" s="5"/>
      <c r="AA769" s="4"/>
      <c r="BA769" s="5"/>
    </row>
    <row r="770" spans="2:53" ht="15.75" customHeight="1" x14ac:dyDescent="0.25">
      <c r="B770" s="5"/>
      <c r="AA770" s="4"/>
      <c r="BA770" s="5"/>
    </row>
    <row r="771" spans="2:53" ht="15.75" customHeight="1" x14ac:dyDescent="0.25">
      <c r="B771" s="5"/>
      <c r="AA771" s="4"/>
      <c r="BA771" s="5"/>
    </row>
    <row r="772" spans="2:53" ht="15.75" customHeight="1" x14ac:dyDescent="0.25">
      <c r="B772" s="5"/>
      <c r="AA772" s="4"/>
      <c r="BA772" s="5"/>
    </row>
    <row r="773" spans="2:53" ht="15.75" customHeight="1" x14ac:dyDescent="0.25">
      <c r="B773" s="5"/>
      <c r="AA773" s="4"/>
      <c r="BA773" s="5"/>
    </row>
    <row r="774" spans="2:53" ht="15.75" customHeight="1" x14ac:dyDescent="0.25">
      <c r="B774" s="5"/>
      <c r="AA774" s="4"/>
      <c r="BA774" s="5"/>
    </row>
    <row r="775" spans="2:53" ht="15.75" customHeight="1" x14ac:dyDescent="0.25">
      <c r="B775" s="5"/>
      <c r="AA775" s="4"/>
      <c r="BA775" s="5"/>
    </row>
    <row r="776" spans="2:53" ht="15.75" customHeight="1" x14ac:dyDescent="0.25">
      <c r="B776" s="5"/>
      <c r="AA776" s="4"/>
      <c r="BA776" s="5"/>
    </row>
    <row r="777" spans="2:53" ht="15.75" customHeight="1" x14ac:dyDescent="0.25">
      <c r="B777" s="5"/>
      <c r="AA777" s="4"/>
      <c r="BA777" s="5"/>
    </row>
    <row r="778" spans="2:53" ht="15.75" customHeight="1" x14ac:dyDescent="0.25">
      <c r="B778" s="5"/>
      <c r="AA778" s="4"/>
      <c r="BA778" s="5"/>
    </row>
    <row r="779" spans="2:53" ht="15.75" customHeight="1" x14ac:dyDescent="0.25">
      <c r="B779" s="5"/>
      <c r="AA779" s="4"/>
      <c r="BA779" s="5"/>
    </row>
    <row r="780" spans="2:53" ht="15.75" customHeight="1" x14ac:dyDescent="0.25">
      <c r="B780" s="5"/>
      <c r="AA780" s="4"/>
      <c r="BA780" s="5"/>
    </row>
    <row r="781" spans="2:53" ht="15.75" customHeight="1" x14ac:dyDescent="0.25">
      <c r="B781" s="5"/>
      <c r="AA781" s="4"/>
      <c r="BA781" s="5"/>
    </row>
    <row r="782" spans="2:53" ht="15.75" customHeight="1" x14ac:dyDescent="0.25">
      <c r="B782" s="5"/>
      <c r="AA782" s="4"/>
      <c r="BA782" s="5"/>
    </row>
    <row r="783" spans="2:53" ht="15.75" customHeight="1" x14ac:dyDescent="0.25">
      <c r="B783" s="5"/>
      <c r="AA783" s="4"/>
      <c r="BA783" s="5"/>
    </row>
    <row r="784" spans="2:53" ht="15.75" customHeight="1" x14ac:dyDescent="0.25">
      <c r="B784" s="5"/>
      <c r="AA784" s="4"/>
      <c r="BA784" s="5"/>
    </row>
    <row r="785" spans="2:53" ht="15.75" customHeight="1" x14ac:dyDescent="0.25">
      <c r="B785" s="5"/>
      <c r="AA785" s="4"/>
      <c r="BA785" s="5"/>
    </row>
    <row r="786" spans="2:53" ht="15.75" customHeight="1" x14ac:dyDescent="0.25">
      <c r="B786" s="5"/>
      <c r="AA786" s="4"/>
      <c r="BA786" s="5"/>
    </row>
    <row r="787" spans="2:53" ht="15.75" customHeight="1" x14ac:dyDescent="0.25">
      <c r="B787" s="5"/>
      <c r="AA787" s="4"/>
      <c r="BA787" s="5"/>
    </row>
    <row r="788" spans="2:53" ht="15.75" customHeight="1" x14ac:dyDescent="0.25">
      <c r="B788" s="5"/>
      <c r="AA788" s="4"/>
      <c r="BA788" s="5"/>
    </row>
    <row r="789" spans="2:53" ht="15.75" customHeight="1" x14ac:dyDescent="0.25">
      <c r="B789" s="5"/>
      <c r="AA789" s="4"/>
      <c r="BA789" s="5"/>
    </row>
    <row r="790" spans="2:53" ht="15.75" customHeight="1" x14ac:dyDescent="0.25">
      <c r="B790" s="5"/>
      <c r="AA790" s="4"/>
      <c r="BA790" s="5"/>
    </row>
    <row r="791" spans="2:53" ht="15.75" customHeight="1" x14ac:dyDescent="0.25">
      <c r="B791" s="5"/>
      <c r="AA791" s="4"/>
      <c r="BA791" s="5"/>
    </row>
    <row r="792" spans="2:53" ht="15.75" customHeight="1" x14ac:dyDescent="0.25">
      <c r="B792" s="5"/>
      <c r="AA792" s="4"/>
      <c r="BA792" s="5"/>
    </row>
    <row r="793" spans="2:53" ht="15.75" customHeight="1" x14ac:dyDescent="0.25">
      <c r="B793" s="5"/>
      <c r="AA793" s="4"/>
      <c r="BA793" s="5"/>
    </row>
    <row r="794" spans="2:53" ht="15.75" customHeight="1" x14ac:dyDescent="0.25">
      <c r="B794" s="5"/>
      <c r="AA794" s="4"/>
      <c r="BA794" s="5"/>
    </row>
    <row r="795" spans="2:53" ht="15.75" customHeight="1" x14ac:dyDescent="0.25">
      <c r="B795" s="5"/>
      <c r="AA795" s="4"/>
      <c r="BA795" s="5"/>
    </row>
    <row r="796" spans="2:53" ht="15.75" customHeight="1" x14ac:dyDescent="0.25">
      <c r="B796" s="5"/>
      <c r="AA796" s="4"/>
      <c r="BA796" s="5"/>
    </row>
    <row r="797" spans="2:53" ht="15.75" customHeight="1" x14ac:dyDescent="0.25">
      <c r="B797" s="5"/>
      <c r="AA797" s="4"/>
      <c r="BA797" s="5"/>
    </row>
    <row r="798" spans="2:53" ht="15.75" customHeight="1" x14ac:dyDescent="0.25">
      <c r="B798" s="5"/>
      <c r="AA798" s="4"/>
      <c r="BA798" s="5"/>
    </row>
    <row r="799" spans="2:53" ht="15.75" customHeight="1" x14ac:dyDescent="0.25">
      <c r="B799" s="5"/>
      <c r="AA799" s="4"/>
      <c r="BA799" s="5"/>
    </row>
    <row r="800" spans="2:53" ht="15.75" customHeight="1" x14ac:dyDescent="0.25">
      <c r="B800" s="5"/>
      <c r="AA800" s="4"/>
      <c r="BA800" s="5"/>
    </row>
    <row r="801" spans="2:53" ht="15.75" customHeight="1" x14ac:dyDescent="0.25">
      <c r="B801" s="5"/>
      <c r="AA801" s="4"/>
      <c r="BA801" s="5"/>
    </row>
    <row r="802" spans="2:53" ht="15.75" customHeight="1" x14ac:dyDescent="0.25">
      <c r="B802" s="5"/>
      <c r="AA802" s="4"/>
      <c r="BA802" s="5"/>
    </row>
    <row r="803" spans="2:53" ht="15.75" customHeight="1" x14ac:dyDescent="0.25">
      <c r="B803" s="5"/>
      <c r="AA803" s="4"/>
      <c r="BA803" s="5"/>
    </row>
    <row r="804" spans="2:53" ht="15.75" customHeight="1" x14ac:dyDescent="0.25">
      <c r="B804" s="5"/>
      <c r="AA804" s="4"/>
      <c r="BA804" s="5"/>
    </row>
    <row r="805" spans="2:53" ht="15.75" customHeight="1" x14ac:dyDescent="0.25">
      <c r="B805" s="5"/>
      <c r="AA805" s="4"/>
      <c r="BA805" s="5"/>
    </row>
    <row r="806" spans="2:53" ht="15.75" customHeight="1" x14ac:dyDescent="0.25">
      <c r="B806" s="5"/>
      <c r="AA806" s="4"/>
      <c r="BA806" s="5"/>
    </row>
    <row r="807" spans="2:53" ht="15.75" customHeight="1" x14ac:dyDescent="0.25">
      <c r="B807" s="5"/>
      <c r="AA807" s="4"/>
      <c r="BA807" s="5"/>
    </row>
    <row r="808" spans="2:53" ht="15.75" customHeight="1" x14ac:dyDescent="0.25">
      <c r="B808" s="5"/>
      <c r="AA808" s="4"/>
      <c r="BA808" s="5"/>
    </row>
    <row r="809" spans="2:53" ht="15.75" customHeight="1" x14ac:dyDescent="0.25">
      <c r="B809" s="5"/>
      <c r="AA809" s="4"/>
      <c r="BA809" s="5"/>
    </row>
    <row r="810" spans="2:53" ht="15.75" customHeight="1" x14ac:dyDescent="0.25">
      <c r="B810" s="5"/>
      <c r="AA810" s="4"/>
      <c r="BA810" s="5"/>
    </row>
    <row r="811" spans="2:53" ht="15.75" customHeight="1" x14ac:dyDescent="0.25">
      <c r="B811" s="5"/>
      <c r="AA811" s="4"/>
      <c r="BA811" s="5"/>
    </row>
    <row r="812" spans="2:53" ht="15.75" customHeight="1" x14ac:dyDescent="0.25">
      <c r="B812" s="5"/>
      <c r="AA812" s="4"/>
      <c r="BA812" s="5"/>
    </row>
    <row r="813" spans="2:53" ht="15.75" customHeight="1" x14ac:dyDescent="0.25">
      <c r="B813" s="5"/>
      <c r="AA813" s="4"/>
      <c r="BA813" s="5"/>
    </row>
    <row r="814" spans="2:53" ht="15.75" customHeight="1" x14ac:dyDescent="0.25">
      <c r="B814" s="5"/>
      <c r="AA814" s="4"/>
      <c r="BA814" s="5"/>
    </row>
    <row r="815" spans="2:53" ht="15.75" customHeight="1" x14ac:dyDescent="0.25">
      <c r="B815" s="5"/>
      <c r="AA815" s="4"/>
      <c r="BA815" s="5"/>
    </row>
    <row r="816" spans="2:53" ht="15.75" customHeight="1" x14ac:dyDescent="0.25">
      <c r="B816" s="5"/>
      <c r="AA816" s="4"/>
      <c r="BA816" s="5"/>
    </row>
    <row r="817" spans="2:53" ht="15.75" customHeight="1" x14ac:dyDescent="0.25">
      <c r="B817" s="5"/>
      <c r="AA817" s="4"/>
      <c r="BA817" s="5"/>
    </row>
    <row r="818" spans="2:53" ht="15.75" customHeight="1" x14ac:dyDescent="0.25">
      <c r="B818" s="5"/>
      <c r="AA818" s="4"/>
      <c r="BA818" s="5"/>
    </row>
    <row r="819" spans="2:53" ht="15.75" customHeight="1" x14ac:dyDescent="0.25">
      <c r="B819" s="5"/>
      <c r="AA819" s="4"/>
      <c r="BA819" s="5"/>
    </row>
    <row r="820" spans="2:53" ht="15.75" customHeight="1" x14ac:dyDescent="0.25">
      <c r="B820" s="5"/>
      <c r="AA820" s="4"/>
      <c r="BA820" s="5"/>
    </row>
    <row r="821" spans="2:53" ht="15.75" customHeight="1" x14ac:dyDescent="0.25">
      <c r="B821" s="5"/>
      <c r="AA821" s="4"/>
      <c r="BA821" s="5"/>
    </row>
    <row r="822" spans="2:53" ht="15.75" customHeight="1" x14ac:dyDescent="0.25">
      <c r="B822" s="5"/>
      <c r="AA822" s="4"/>
      <c r="BA822" s="5"/>
    </row>
    <row r="823" spans="2:53" ht="15.75" customHeight="1" x14ac:dyDescent="0.25">
      <c r="B823" s="5"/>
      <c r="AA823" s="4"/>
      <c r="BA823" s="5"/>
    </row>
    <row r="824" spans="2:53" ht="15.75" customHeight="1" x14ac:dyDescent="0.25">
      <c r="B824" s="5"/>
      <c r="AA824" s="4"/>
      <c r="BA824" s="5"/>
    </row>
    <row r="825" spans="2:53" ht="15.75" customHeight="1" x14ac:dyDescent="0.25">
      <c r="B825" s="5"/>
      <c r="AA825" s="4"/>
      <c r="BA825" s="5"/>
    </row>
    <row r="826" spans="2:53" ht="15.75" customHeight="1" x14ac:dyDescent="0.25">
      <c r="B826" s="5"/>
      <c r="AA826" s="4"/>
      <c r="BA826" s="5"/>
    </row>
    <row r="827" spans="2:53" ht="15.75" customHeight="1" x14ac:dyDescent="0.25">
      <c r="B827" s="5"/>
      <c r="AA827" s="4"/>
      <c r="BA827" s="5"/>
    </row>
    <row r="828" spans="2:53" ht="15.75" customHeight="1" x14ac:dyDescent="0.25">
      <c r="B828" s="5"/>
      <c r="AA828" s="4"/>
      <c r="BA828" s="5"/>
    </row>
    <row r="829" spans="2:53" ht="15.75" customHeight="1" x14ac:dyDescent="0.25">
      <c r="B829" s="5"/>
      <c r="AA829" s="4"/>
      <c r="BA829" s="5"/>
    </row>
    <row r="830" spans="2:53" ht="15.75" customHeight="1" x14ac:dyDescent="0.25">
      <c r="B830" s="5"/>
      <c r="AA830" s="4"/>
      <c r="BA830" s="5"/>
    </row>
    <row r="831" spans="2:53" ht="15.75" customHeight="1" x14ac:dyDescent="0.25">
      <c r="B831" s="5"/>
      <c r="AA831" s="4"/>
      <c r="BA831" s="5"/>
    </row>
    <row r="832" spans="2:53" ht="15.75" customHeight="1" x14ac:dyDescent="0.25">
      <c r="B832" s="5"/>
      <c r="AA832" s="4"/>
      <c r="BA832" s="5"/>
    </row>
    <row r="833" spans="2:53" ht="15.75" customHeight="1" x14ac:dyDescent="0.25">
      <c r="B833" s="5"/>
      <c r="AA833" s="4"/>
      <c r="BA833" s="5"/>
    </row>
    <row r="834" spans="2:53" ht="15.75" customHeight="1" x14ac:dyDescent="0.25">
      <c r="B834" s="5"/>
      <c r="AA834" s="4"/>
      <c r="BA834" s="5"/>
    </row>
    <row r="835" spans="2:53" ht="15.75" customHeight="1" x14ac:dyDescent="0.25">
      <c r="B835" s="5"/>
      <c r="AA835" s="4"/>
      <c r="BA835" s="5"/>
    </row>
    <row r="836" spans="2:53" ht="15.75" customHeight="1" x14ac:dyDescent="0.25">
      <c r="B836" s="5"/>
      <c r="AA836" s="4"/>
      <c r="BA836" s="5"/>
    </row>
    <row r="837" spans="2:53" ht="15.75" customHeight="1" x14ac:dyDescent="0.25">
      <c r="B837" s="5"/>
      <c r="AA837" s="4"/>
      <c r="BA837" s="5"/>
    </row>
    <row r="838" spans="2:53" ht="15.75" customHeight="1" x14ac:dyDescent="0.25">
      <c r="B838" s="5"/>
      <c r="AA838" s="4"/>
      <c r="BA838" s="5"/>
    </row>
    <row r="839" spans="2:53" ht="15.75" customHeight="1" x14ac:dyDescent="0.25">
      <c r="B839" s="5"/>
      <c r="AA839" s="4"/>
      <c r="BA839" s="5"/>
    </row>
    <row r="840" spans="2:53" ht="15.75" customHeight="1" x14ac:dyDescent="0.25">
      <c r="B840" s="5"/>
      <c r="AA840" s="4"/>
      <c r="BA840" s="5"/>
    </row>
    <row r="841" spans="2:53" ht="15.75" customHeight="1" x14ac:dyDescent="0.25">
      <c r="B841" s="5"/>
      <c r="AA841" s="4"/>
      <c r="BA841" s="5"/>
    </row>
    <row r="842" spans="2:53" ht="15.75" customHeight="1" x14ac:dyDescent="0.25">
      <c r="B842" s="5"/>
      <c r="AA842" s="4"/>
      <c r="BA842" s="5"/>
    </row>
    <row r="843" spans="2:53" ht="15.75" customHeight="1" x14ac:dyDescent="0.25">
      <c r="B843" s="5"/>
      <c r="AA843" s="4"/>
      <c r="BA843" s="5"/>
    </row>
    <row r="844" spans="2:53" ht="15.75" customHeight="1" x14ac:dyDescent="0.25">
      <c r="B844" s="5"/>
      <c r="AA844" s="4"/>
      <c r="BA844" s="5"/>
    </row>
    <row r="845" spans="2:53" ht="15.75" customHeight="1" x14ac:dyDescent="0.25">
      <c r="B845" s="5"/>
      <c r="AA845" s="4"/>
      <c r="BA845" s="5"/>
    </row>
    <row r="846" spans="2:53" ht="15.75" customHeight="1" x14ac:dyDescent="0.25">
      <c r="B846" s="5"/>
      <c r="AA846" s="4"/>
      <c r="BA846" s="5"/>
    </row>
    <row r="847" spans="2:53" ht="15.75" customHeight="1" x14ac:dyDescent="0.25">
      <c r="B847" s="5"/>
      <c r="AA847" s="4"/>
      <c r="BA847" s="5"/>
    </row>
    <row r="848" spans="2:53" ht="15.75" customHeight="1" x14ac:dyDescent="0.25">
      <c r="B848" s="5"/>
      <c r="AA848" s="4"/>
      <c r="BA848" s="5"/>
    </row>
    <row r="849" spans="2:53" ht="15.75" customHeight="1" x14ac:dyDescent="0.25">
      <c r="B849" s="5"/>
      <c r="AA849" s="4"/>
      <c r="BA849" s="5"/>
    </row>
    <row r="850" spans="2:53" ht="15.75" customHeight="1" x14ac:dyDescent="0.25">
      <c r="B850" s="5"/>
      <c r="AA850" s="4"/>
      <c r="BA850" s="5"/>
    </row>
    <row r="851" spans="2:53" ht="15.75" customHeight="1" x14ac:dyDescent="0.25">
      <c r="B851" s="5"/>
      <c r="AA851" s="4"/>
      <c r="BA851" s="5"/>
    </row>
    <row r="852" spans="2:53" ht="15.75" customHeight="1" x14ac:dyDescent="0.25">
      <c r="B852" s="5"/>
      <c r="AA852" s="4"/>
      <c r="BA852" s="5"/>
    </row>
    <row r="853" spans="2:53" ht="15.75" customHeight="1" x14ac:dyDescent="0.25">
      <c r="B853" s="5"/>
      <c r="AA853" s="4"/>
      <c r="BA853" s="5"/>
    </row>
    <row r="854" spans="2:53" ht="15.75" customHeight="1" x14ac:dyDescent="0.25">
      <c r="B854" s="5"/>
      <c r="AA854" s="4"/>
      <c r="BA854" s="5"/>
    </row>
    <row r="855" spans="2:53" ht="15.75" customHeight="1" x14ac:dyDescent="0.25">
      <c r="B855" s="5"/>
      <c r="AA855" s="4"/>
      <c r="BA855" s="5"/>
    </row>
    <row r="856" spans="2:53" ht="15.75" customHeight="1" x14ac:dyDescent="0.25">
      <c r="B856" s="5"/>
      <c r="AA856" s="4"/>
      <c r="BA856" s="5"/>
    </row>
    <row r="857" spans="2:53" ht="15.75" customHeight="1" x14ac:dyDescent="0.25">
      <c r="B857" s="5"/>
      <c r="AA857" s="4"/>
      <c r="BA857" s="5"/>
    </row>
    <row r="858" spans="2:53" ht="15.75" customHeight="1" x14ac:dyDescent="0.25">
      <c r="B858" s="5"/>
      <c r="AA858" s="4"/>
      <c r="BA858" s="5"/>
    </row>
    <row r="859" spans="2:53" ht="15.75" customHeight="1" x14ac:dyDescent="0.25">
      <c r="B859" s="5"/>
      <c r="AA859" s="4"/>
      <c r="BA859" s="5"/>
    </row>
    <row r="860" spans="2:53" ht="15.75" customHeight="1" x14ac:dyDescent="0.25">
      <c r="B860" s="5"/>
      <c r="AA860" s="4"/>
      <c r="BA860" s="5"/>
    </row>
    <row r="861" spans="2:53" ht="15.75" customHeight="1" x14ac:dyDescent="0.25">
      <c r="B861" s="5"/>
      <c r="AA861" s="4"/>
      <c r="BA861" s="5"/>
    </row>
    <row r="862" spans="2:53" ht="15.75" customHeight="1" x14ac:dyDescent="0.25">
      <c r="B862" s="5"/>
      <c r="AA862" s="4"/>
      <c r="BA862" s="5"/>
    </row>
    <row r="863" spans="2:53" ht="15.75" customHeight="1" x14ac:dyDescent="0.25">
      <c r="B863" s="5"/>
      <c r="AA863" s="4"/>
      <c r="BA863" s="5"/>
    </row>
    <row r="864" spans="2:53" ht="15.75" customHeight="1" x14ac:dyDescent="0.25">
      <c r="B864" s="5"/>
      <c r="AA864" s="4"/>
      <c r="BA864" s="5"/>
    </row>
    <row r="865" spans="2:53" ht="15.75" customHeight="1" x14ac:dyDescent="0.25">
      <c r="B865" s="5"/>
      <c r="AA865" s="4"/>
      <c r="BA865" s="5"/>
    </row>
    <row r="866" spans="2:53" ht="15.75" customHeight="1" x14ac:dyDescent="0.25">
      <c r="B866" s="5"/>
      <c r="AA866" s="4"/>
      <c r="BA866" s="5"/>
    </row>
    <row r="867" spans="2:53" ht="15.75" customHeight="1" x14ac:dyDescent="0.25">
      <c r="B867" s="5"/>
      <c r="AA867" s="4"/>
      <c r="BA867" s="5"/>
    </row>
    <row r="868" spans="2:53" ht="15.75" customHeight="1" x14ac:dyDescent="0.25">
      <c r="B868" s="5"/>
      <c r="AA868" s="4"/>
      <c r="BA868" s="5"/>
    </row>
    <row r="869" spans="2:53" ht="15.75" customHeight="1" x14ac:dyDescent="0.25">
      <c r="B869" s="5"/>
      <c r="AA869" s="4"/>
      <c r="BA869" s="5"/>
    </row>
    <row r="870" spans="2:53" ht="15.75" customHeight="1" x14ac:dyDescent="0.25">
      <c r="B870" s="5"/>
      <c r="AA870" s="4"/>
      <c r="BA870" s="5"/>
    </row>
    <row r="871" spans="2:53" ht="15.75" customHeight="1" x14ac:dyDescent="0.25">
      <c r="B871" s="5"/>
      <c r="AA871" s="4"/>
      <c r="BA871" s="5"/>
    </row>
    <row r="872" spans="2:53" ht="15.75" customHeight="1" x14ac:dyDescent="0.25">
      <c r="B872" s="5"/>
      <c r="AA872" s="4"/>
      <c r="BA872" s="5"/>
    </row>
    <row r="873" spans="2:53" ht="15.75" customHeight="1" x14ac:dyDescent="0.25">
      <c r="B873" s="5"/>
      <c r="AA873" s="4"/>
      <c r="BA873" s="5"/>
    </row>
    <row r="874" spans="2:53" ht="15.75" customHeight="1" x14ac:dyDescent="0.25">
      <c r="B874" s="5"/>
      <c r="AA874" s="4"/>
      <c r="BA874" s="5"/>
    </row>
    <row r="875" spans="2:53" ht="15.75" customHeight="1" x14ac:dyDescent="0.25">
      <c r="B875" s="5"/>
      <c r="AA875" s="4"/>
      <c r="BA875" s="5"/>
    </row>
    <row r="876" spans="2:53" ht="15.75" customHeight="1" x14ac:dyDescent="0.25">
      <c r="B876" s="5"/>
      <c r="AA876" s="4"/>
      <c r="BA876" s="5"/>
    </row>
    <row r="877" spans="2:53" ht="15.75" customHeight="1" x14ac:dyDescent="0.25">
      <c r="B877" s="5"/>
      <c r="AA877" s="4"/>
      <c r="BA877" s="5"/>
    </row>
    <row r="878" spans="2:53" ht="15.75" customHeight="1" x14ac:dyDescent="0.25">
      <c r="B878" s="5"/>
      <c r="AA878" s="4"/>
      <c r="BA878" s="5"/>
    </row>
    <row r="879" spans="2:53" ht="15.75" customHeight="1" x14ac:dyDescent="0.25">
      <c r="B879" s="5"/>
      <c r="AA879" s="4"/>
      <c r="BA879" s="5"/>
    </row>
    <row r="880" spans="2:53" ht="15.75" customHeight="1" x14ac:dyDescent="0.25">
      <c r="B880" s="5"/>
      <c r="AA880" s="4"/>
      <c r="BA880" s="5"/>
    </row>
    <row r="881" spans="2:53" ht="15.75" customHeight="1" x14ac:dyDescent="0.25">
      <c r="B881" s="5"/>
      <c r="AA881" s="4"/>
      <c r="BA881" s="5"/>
    </row>
    <row r="882" spans="2:53" ht="15.75" customHeight="1" x14ac:dyDescent="0.25">
      <c r="B882" s="5"/>
      <c r="AA882" s="4"/>
      <c r="BA882" s="5"/>
    </row>
    <row r="883" spans="2:53" ht="15.75" customHeight="1" x14ac:dyDescent="0.25">
      <c r="B883" s="5"/>
      <c r="AA883" s="4"/>
      <c r="BA883" s="5"/>
    </row>
    <row r="884" spans="2:53" ht="15.75" customHeight="1" x14ac:dyDescent="0.25">
      <c r="B884" s="5"/>
      <c r="AA884" s="4"/>
      <c r="BA884" s="5"/>
    </row>
    <row r="885" spans="2:53" ht="15.75" customHeight="1" x14ac:dyDescent="0.25">
      <c r="B885" s="5"/>
      <c r="AA885" s="4"/>
      <c r="BA885" s="5"/>
    </row>
    <row r="886" spans="2:53" ht="15.75" customHeight="1" x14ac:dyDescent="0.25">
      <c r="B886" s="5"/>
      <c r="AA886" s="4"/>
      <c r="BA886" s="5"/>
    </row>
    <row r="887" spans="2:53" ht="15.75" customHeight="1" x14ac:dyDescent="0.25">
      <c r="B887" s="5"/>
      <c r="AA887" s="4"/>
      <c r="BA887" s="5"/>
    </row>
    <row r="888" spans="2:53" ht="15.75" customHeight="1" x14ac:dyDescent="0.25">
      <c r="B888" s="5"/>
      <c r="AA888" s="4"/>
      <c r="BA888" s="5"/>
    </row>
    <row r="889" spans="2:53" ht="15.75" customHeight="1" x14ac:dyDescent="0.25">
      <c r="B889" s="5"/>
      <c r="AA889" s="4"/>
      <c r="BA889" s="5"/>
    </row>
    <row r="890" spans="2:53" ht="15.75" customHeight="1" x14ac:dyDescent="0.25">
      <c r="B890" s="5"/>
      <c r="AA890" s="4"/>
      <c r="BA890" s="5"/>
    </row>
    <row r="891" spans="2:53" ht="15.75" customHeight="1" x14ac:dyDescent="0.25">
      <c r="B891" s="5"/>
      <c r="AA891" s="4"/>
      <c r="BA891" s="5"/>
    </row>
    <row r="892" spans="2:53" ht="15.75" customHeight="1" x14ac:dyDescent="0.25">
      <c r="B892" s="5"/>
      <c r="AA892" s="4"/>
      <c r="BA892" s="5"/>
    </row>
    <row r="893" spans="2:53" ht="15.75" customHeight="1" x14ac:dyDescent="0.25">
      <c r="B893" s="5"/>
      <c r="AA893" s="4"/>
      <c r="BA893" s="5"/>
    </row>
    <row r="894" spans="2:53" ht="15.75" customHeight="1" x14ac:dyDescent="0.25">
      <c r="B894" s="5"/>
      <c r="AA894" s="4"/>
      <c r="BA894" s="5"/>
    </row>
    <row r="895" spans="2:53" ht="15.75" customHeight="1" x14ac:dyDescent="0.25">
      <c r="B895" s="5"/>
      <c r="AA895" s="4"/>
      <c r="BA895" s="5"/>
    </row>
    <row r="896" spans="2:53" ht="15.75" customHeight="1" x14ac:dyDescent="0.25">
      <c r="B896" s="5"/>
      <c r="AA896" s="4"/>
      <c r="BA896" s="5"/>
    </row>
    <row r="897" spans="2:53" ht="15.75" customHeight="1" x14ac:dyDescent="0.25">
      <c r="B897" s="5"/>
      <c r="AA897" s="4"/>
      <c r="BA897" s="5"/>
    </row>
    <row r="898" spans="2:53" ht="15.75" customHeight="1" x14ac:dyDescent="0.25">
      <c r="B898" s="5"/>
      <c r="AA898" s="4"/>
      <c r="BA898" s="5"/>
    </row>
    <row r="899" spans="2:53" ht="15.75" customHeight="1" x14ac:dyDescent="0.25">
      <c r="B899" s="5"/>
      <c r="AA899" s="4"/>
      <c r="BA899" s="5"/>
    </row>
    <row r="900" spans="2:53" ht="15.75" customHeight="1" x14ac:dyDescent="0.25">
      <c r="B900" s="5"/>
      <c r="AA900" s="4"/>
      <c r="BA900" s="5"/>
    </row>
    <row r="901" spans="2:53" ht="15.75" customHeight="1" x14ac:dyDescent="0.25">
      <c r="B901" s="5"/>
      <c r="AA901" s="4"/>
      <c r="BA901" s="5"/>
    </row>
    <row r="902" spans="2:53" ht="15.75" customHeight="1" x14ac:dyDescent="0.25">
      <c r="B902" s="5"/>
      <c r="AA902" s="4"/>
      <c r="BA902" s="5"/>
    </row>
    <row r="903" spans="2:53" ht="15.75" customHeight="1" x14ac:dyDescent="0.25">
      <c r="B903" s="5"/>
      <c r="AA903" s="4"/>
      <c r="BA903" s="5"/>
    </row>
    <row r="904" spans="2:53" ht="15.75" customHeight="1" x14ac:dyDescent="0.25">
      <c r="B904" s="5"/>
      <c r="AA904" s="4"/>
      <c r="BA904" s="5"/>
    </row>
    <row r="905" spans="2:53" ht="15.75" customHeight="1" x14ac:dyDescent="0.25">
      <c r="B905" s="5"/>
      <c r="AA905" s="4"/>
      <c r="BA905" s="5"/>
    </row>
    <row r="906" spans="2:53" ht="15.75" customHeight="1" x14ac:dyDescent="0.25">
      <c r="B906" s="5"/>
      <c r="AA906" s="4"/>
      <c r="BA906" s="5"/>
    </row>
    <row r="907" spans="2:53" ht="15.75" customHeight="1" x14ac:dyDescent="0.25">
      <c r="B907" s="5"/>
      <c r="AA907" s="4"/>
      <c r="BA907" s="5"/>
    </row>
    <row r="908" spans="2:53" ht="15.75" customHeight="1" x14ac:dyDescent="0.25">
      <c r="B908" s="5"/>
      <c r="AA908" s="4"/>
      <c r="BA908" s="5"/>
    </row>
    <row r="909" spans="2:53" ht="15.75" customHeight="1" x14ac:dyDescent="0.25">
      <c r="B909" s="5"/>
      <c r="AA909" s="4"/>
      <c r="BA909" s="5"/>
    </row>
    <row r="910" spans="2:53" ht="15.75" customHeight="1" x14ac:dyDescent="0.25">
      <c r="B910" s="5"/>
      <c r="AA910" s="4"/>
      <c r="BA910" s="5"/>
    </row>
    <row r="911" spans="2:53" ht="15.75" customHeight="1" x14ac:dyDescent="0.25">
      <c r="B911" s="5"/>
      <c r="AA911" s="4"/>
      <c r="BA911" s="5"/>
    </row>
    <row r="912" spans="2:53" ht="15.75" customHeight="1" x14ac:dyDescent="0.25">
      <c r="B912" s="5"/>
      <c r="AA912" s="4"/>
      <c r="BA912" s="5"/>
    </row>
    <row r="913" spans="2:53" ht="15.75" customHeight="1" x14ac:dyDescent="0.25">
      <c r="B913" s="5"/>
      <c r="AA913" s="4"/>
      <c r="BA913" s="5"/>
    </row>
    <row r="914" spans="2:53" ht="15.75" customHeight="1" x14ac:dyDescent="0.25">
      <c r="B914" s="5"/>
      <c r="AA914" s="4"/>
      <c r="BA914" s="5"/>
    </row>
    <row r="915" spans="2:53" ht="15.75" customHeight="1" x14ac:dyDescent="0.25">
      <c r="B915" s="5"/>
      <c r="AA915" s="4"/>
      <c r="BA915" s="5"/>
    </row>
    <row r="916" spans="2:53" ht="15.75" customHeight="1" x14ac:dyDescent="0.25">
      <c r="B916" s="5"/>
      <c r="AA916" s="4"/>
      <c r="BA916" s="5"/>
    </row>
    <row r="917" spans="2:53" ht="15.75" customHeight="1" x14ac:dyDescent="0.25">
      <c r="B917" s="5"/>
      <c r="AA917" s="4"/>
      <c r="BA917" s="5"/>
    </row>
    <row r="918" spans="2:53" ht="15.75" customHeight="1" x14ac:dyDescent="0.25">
      <c r="B918" s="5"/>
      <c r="AA918" s="4"/>
      <c r="BA918" s="5"/>
    </row>
    <row r="919" spans="2:53" ht="15.75" customHeight="1" x14ac:dyDescent="0.25">
      <c r="B919" s="5"/>
      <c r="AA919" s="4"/>
      <c r="BA919" s="5"/>
    </row>
    <row r="920" spans="2:53" ht="15.75" customHeight="1" x14ac:dyDescent="0.25">
      <c r="B920" s="5"/>
      <c r="AA920" s="4"/>
      <c r="BA920" s="5"/>
    </row>
    <row r="921" spans="2:53" ht="15.75" customHeight="1" x14ac:dyDescent="0.25">
      <c r="B921" s="5"/>
      <c r="AA921" s="4"/>
      <c r="BA921" s="5"/>
    </row>
    <row r="922" spans="2:53" ht="15.75" customHeight="1" x14ac:dyDescent="0.25">
      <c r="B922" s="5"/>
      <c r="AA922" s="4"/>
      <c r="BA922" s="5"/>
    </row>
    <row r="923" spans="2:53" ht="15.75" customHeight="1" x14ac:dyDescent="0.25">
      <c r="B923" s="5"/>
      <c r="AA923" s="4"/>
      <c r="BA923" s="5"/>
    </row>
    <row r="924" spans="2:53" ht="15.75" customHeight="1" x14ac:dyDescent="0.25">
      <c r="B924" s="5"/>
      <c r="AA924" s="4"/>
      <c r="BA924" s="5"/>
    </row>
    <row r="925" spans="2:53" ht="15.75" customHeight="1" x14ac:dyDescent="0.25">
      <c r="B925" s="5"/>
      <c r="AA925" s="4"/>
      <c r="BA925" s="5"/>
    </row>
    <row r="926" spans="2:53" ht="15.75" customHeight="1" x14ac:dyDescent="0.25">
      <c r="B926" s="5"/>
      <c r="AA926" s="4"/>
      <c r="BA926" s="5"/>
    </row>
    <row r="927" spans="2:53" ht="15.75" customHeight="1" x14ac:dyDescent="0.25">
      <c r="B927" s="5"/>
      <c r="AA927" s="4"/>
      <c r="BA927" s="5"/>
    </row>
    <row r="928" spans="2:53" ht="15.75" customHeight="1" x14ac:dyDescent="0.25">
      <c r="B928" s="5"/>
      <c r="AA928" s="4"/>
      <c r="BA928" s="5"/>
    </row>
    <row r="929" spans="2:53" ht="15.75" customHeight="1" x14ac:dyDescent="0.25">
      <c r="B929" s="5"/>
      <c r="AA929" s="4"/>
      <c r="BA929" s="5"/>
    </row>
    <row r="930" spans="2:53" ht="15.75" customHeight="1" x14ac:dyDescent="0.25">
      <c r="B930" s="5"/>
      <c r="AA930" s="4"/>
      <c r="BA930" s="5"/>
    </row>
    <row r="931" spans="2:53" ht="15.75" customHeight="1" x14ac:dyDescent="0.25">
      <c r="B931" s="5"/>
      <c r="AA931" s="4"/>
      <c r="BA931" s="5"/>
    </row>
    <row r="932" spans="2:53" ht="15.75" customHeight="1" x14ac:dyDescent="0.25">
      <c r="B932" s="5"/>
      <c r="AA932" s="4"/>
      <c r="BA932" s="5"/>
    </row>
    <row r="933" spans="2:53" ht="15.75" customHeight="1" x14ac:dyDescent="0.25">
      <c r="B933" s="5"/>
      <c r="AA933" s="4"/>
      <c r="BA933" s="5"/>
    </row>
    <row r="934" spans="2:53" ht="15.75" customHeight="1" x14ac:dyDescent="0.25">
      <c r="B934" s="5"/>
      <c r="AA934" s="4"/>
      <c r="BA934" s="5"/>
    </row>
    <row r="935" spans="2:53" ht="15.75" customHeight="1" x14ac:dyDescent="0.25">
      <c r="B935" s="5"/>
      <c r="AA935" s="4"/>
      <c r="BA935" s="5"/>
    </row>
    <row r="936" spans="2:53" ht="15.75" customHeight="1" x14ac:dyDescent="0.25">
      <c r="B936" s="5"/>
      <c r="AA936" s="4"/>
      <c r="BA936" s="5"/>
    </row>
    <row r="937" spans="2:53" ht="15.75" customHeight="1" x14ac:dyDescent="0.25">
      <c r="B937" s="5"/>
      <c r="AA937" s="4"/>
      <c r="BA937" s="5"/>
    </row>
    <row r="938" spans="2:53" ht="15.75" customHeight="1" x14ac:dyDescent="0.25">
      <c r="B938" s="5"/>
      <c r="AA938" s="4"/>
      <c r="BA938" s="5"/>
    </row>
    <row r="939" spans="2:53" ht="15.75" customHeight="1" x14ac:dyDescent="0.25">
      <c r="B939" s="5"/>
      <c r="AA939" s="4"/>
      <c r="BA939" s="5"/>
    </row>
    <row r="940" spans="2:53" ht="15.75" customHeight="1" x14ac:dyDescent="0.25">
      <c r="B940" s="5"/>
      <c r="AA940" s="4"/>
      <c r="BA940" s="5"/>
    </row>
    <row r="941" spans="2:53" ht="15.75" customHeight="1" x14ac:dyDescent="0.25">
      <c r="B941" s="5"/>
      <c r="AA941" s="4"/>
      <c r="BA941" s="5"/>
    </row>
    <row r="942" spans="2:53" ht="15.75" customHeight="1" x14ac:dyDescent="0.25">
      <c r="B942" s="5"/>
      <c r="AA942" s="4"/>
      <c r="BA942" s="5"/>
    </row>
    <row r="943" spans="2:53" ht="15.75" customHeight="1" x14ac:dyDescent="0.25">
      <c r="B943" s="5"/>
      <c r="AA943" s="4"/>
      <c r="BA943" s="5"/>
    </row>
    <row r="944" spans="2:53" ht="15.75" customHeight="1" x14ac:dyDescent="0.25">
      <c r="B944" s="5"/>
      <c r="AA944" s="4"/>
      <c r="BA944" s="5"/>
    </row>
    <row r="945" spans="2:53" ht="15.75" customHeight="1" x14ac:dyDescent="0.25">
      <c r="B945" s="5"/>
      <c r="AA945" s="4"/>
      <c r="BA945" s="5"/>
    </row>
    <row r="946" spans="2:53" ht="15.75" customHeight="1" x14ac:dyDescent="0.25">
      <c r="B946" s="5"/>
      <c r="AA946" s="4"/>
      <c r="BA946" s="5"/>
    </row>
    <row r="947" spans="2:53" ht="15.75" customHeight="1" x14ac:dyDescent="0.25">
      <c r="B947" s="5"/>
      <c r="AA947" s="4"/>
      <c r="BA947" s="5"/>
    </row>
    <row r="948" spans="2:53" ht="15.75" customHeight="1" x14ac:dyDescent="0.25">
      <c r="B948" s="5"/>
      <c r="AA948" s="4"/>
      <c r="BA948" s="5"/>
    </row>
    <row r="949" spans="2:53" ht="15.75" customHeight="1" x14ac:dyDescent="0.25">
      <c r="B949" s="5"/>
      <c r="AA949" s="4"/>
      <c r="BA949" s="5"/>
    </row>
    <row r="950" spans="2:53" ht="15.75" customHeight="1" x14ac:dyDescent="0.25">
      <c r="B950" s="5"/>
      <c r="AA950" s="4"/>
      <c r="BA950" s="5"/>
    </row>
    <row r="951" spans="2:53" ht="15.75" customHeight="1" x14ac:dyDescent="0.25">
      <c r="B951" s="5"/>
      <c r="AA951" s="4"/>
      <c r="BA951" s="5"/>
    </row>
    <row r="952" spans="2:53" ht="15.75" customHeight="1" x14ac:dyDescent="0.25">
      <c r="B952" s="5"/>
      <c r="AA952" s="4"/>
      <c r="BA952" s="5"/>
    </row>
    <row r="953" spans="2:53" ht="15.75" customHeight="1" x14ac:dyDescent="0.25">
      <c r="B953" s="5"/>
      <c r="AA953" s="4"/>
      <c r="BA953" s="5"/>
    </row>
    <row r="954" spans="2:53" ht="15.75" customHeight="1" x14ac:dyDescent="0.25">
      <c r="B954" s="5"/>
      <c r="AA954" s="4"/>
      <c r="BA954" s="5"/>
    </row>
    <row r="955" spans="2:53" ht="15.75" customHeight="1" x14ac:dyDescent="0.25">
      <c r="B955" s="5"/>
      <c r="AA955" s="4"/>
      <c r="BA955" s="5"/>
    </row>
    <row r="956" spans="2:53" ht="15.75" customHeight="1" x14ac:dyDescent="0.25">
      <c r="B956" s="5"/>
      <c r="AA956" s="4"/>
      <c r="BA956" s="5"/>
    </row>
    <row r="957" spans="2:53" ht="15.75" customHeight="1" x14ac:dyDescent="0.25">
      <c r="B957" s="5"/>
      <c r="AA957" s="4"/>
      <c r="BA957" s="5"/>
    </row>
    <row r="958" spans="2:53" ht="15.75" customHeight="1" x14ac:dyDescent="0.25">
      <c r="B958" s="5"/>
      <c r="AA958" s="4"/>
      <c r="BA958" s="5"/>
    </row>
    <row r="959" spans="2:53" ht="15.75" customHeight="1" x14ac:dyDescent="0.25">
      <c r="B959" s="5"/>
      <c r="AA959" s="4"/>
      <c r="BA959" s="5"/>
    </row>
    <row r="960" spans="2:53" ht="15.75" customHeight="1" x14ac:dyDescent="0.25">
      <c r="B960" s="5"/>
      <c r="AA960" s="4"/>
      <c r="BA960" s="5"/>
    </row>
    <row r="961" spans="2:53" ht="15.75" customHeight="1" x14ac:dyDescent="0.25">
      <c r="B961" s="5"/>
      <c r="AA961" s="4"/>
      <c r="BA961" s="5"/>
    </row>
    <row r="962" spans="2:53" ht="15.75" customHeight="1" x14ac:dyDescent="0.25">
      <c r="B962" s="5"/>
      <c r="AA962" s="4"/>
      <c r="BA962" s="5"/>
    </row>
    <row r="963" spans="2:53" ht="15.75" customHeight="1" x14ac:dyDescent="0.25">
      <c r="B963" s="5"/>
      <c r="AA963" s="4"/>
      <c r="BA963" s="5"/>
    </row>
    <row r="964" spans="2:53" ht="15.75" customHeight="1" x14ac:dyDescent="0.25">
      <c r="B964" s="5"/>
      <c r="AA964" s="4"/>
      <c r="BA964" s="5"/>
    </row>
    <row r="965" spans="2:53" ht="15.75" customHeight="1" x14ac:dyDescent="0.25">
      <c r="B965" s="5"/>
      <c r="AA965" s="4"/>
      <c r="BA965" s="5"/>
    </row>
    <row r="966" spans="2:53" ht="15.75" customHeight="1" x14ac:dyDescent="0.25">
      <c r="B966" s="5"/>
      <c r="AA966" s="4"/>
      <c r="BA966" s="5"/>
    </row>
    <row r="967" spans="2:53" ht="15.75" customHeight="1" x14ac:dyDescent="0.25">
      <c r="B967" s="5"/>
      <c r="AA967" s="4"/>
      <c r="BA967" s="5"/>
    </row>
    <row r="968" spans="2:53" ht="15.75" customHeight="1" x14ac:dyDescent="0.25">
      <c r="B968" s="5"/>
      <c r="AA968" s="4"/>
      <c r="BA968" s="5"/>
    </row>
    <row r="969" spans="2:53" ht="15.75" customHeight="1" x14ac:dyDescent="0.25">
      <c r="B969" s="5"/>
      <c r="AA969" s="4"/>
      <c r="BA969" s="5"/>
    </row>
    <row r="970" spans="2:53" ht="15.75" customHeight="1" x14ac:dyDescent="0.25">
      <c r="B970" s="5"/>
      <c r="AA970" s="4"/>
      <c r="BA970" s="5"/>
    </row>
    <row r="971" spans="2:53" ht="15.75" customHeight="1" x14ac:dyDescent="0.25">
      <c r="B971" s="5"/>
      <c r="AA971" s="4"/>
      <c r="BA971" s="5"/>
    </row>
    <row r="972" spans="2:53" ht="15.75" customHeight="1" x14ac:dyDescent="0.25">
      <c r="B972" s="5"/>
      <c r="AA972" s="4"/>
      <c r="BA972" s="5"/>
    </row>
    <row r="973" spans="2:53" ht="15.75" customHeight="1" x14ac:dyDescent="0.25">
      <c r="B973" s="5"/>
      <c r="AA973" s="4"/>
      <c r="BA973" s="5"/>
    </row>
    <row r="974" spans="2:53" ht="15.75" customHeight="1" x14ac:dyDescent="0.25">
      <c r="B974" s="5"/>
      <c r="AA974" s="4"/>
      <c r="BA974" s="5"/>
    </row>
    <row r="975" spans="2:53" ht="15.75" customHeight="1" x14ac:dyDescent="0.25">
      <c r="B975" s="5"/>
      <c r="AA975" s="4"/>
      <c r="BA975" s="5"/>
    </row>
    <row r="976" spans="2:53" ht="15.75" customHeight="1" x14ac:dyDescent="0.25">
      <c r="B976" s="5"/>
      <c r="AA976" s="4"/>
      <c r="BA976" s="5"/>
    </row>
    <row r="977" spans="2:53" ht="15.75" customHeight="1" x14ac:dyDescent="0.25">
      <c r="B977" s="5"/>
      <c r="AA977" s="4"/>
      <c r="BA977" s="5"/>
    </row>
    <row r="978" spans="2:53" ht="15.75" customHeight="1" x14ac:dyDescent="0.25">
      <c r="B978" s="5"/>
      <c r="AA978" s="4"/>
      <c r="BA978" s="5"/>
    </row>
    <row r="979" spans="2:53" ht="15.75" customHeight="1" x14ac:dyDescent="0.25">
      <c r="B979" s="5"/>
      <c r="AA979" s="4"/>
      <c r="BA979" s="5"/>
    </row>
    <row r="980" spans="2:53" ht="15.75" customHeight="1" x14ac:dyDescent="0.25">
      <c r="B980" s="5"/>
      <c r="AA980" s="4"/>
      <c r="BA980" s="5"/>
    </row>
    <row r="981" spans="2:53" ht="15.75" customHeight="1" x14ac:dyDescent="0.25">
      <c r="B981" s="5"/>
      <c r="AA981" s="4"/>
      <c r="BA981" s="5"/>
    </row>
    <row r="982" spans="2:53" ht="15.75" customHeight="1" x14ac:dyDescent="0.25">
      <c r="B982" s="5"/>
      <c r="AA982" s="4"/>
      <c r="BA982" s="5"/>
    </row>
    <row r="983" spans="2:53" ht="15.75" customHeight="1" x14ac:dyDescent="0.25">
      <c r="B983" s="5"/>
      <c r="AA983" s="4"/>
      <c r="BA983" s="5"/>
    </row>
    <row r="984" spans="2:53" ht="15.75" customHeight="1" x14ac:dyDescent="0.25">
      <c r="B984" s="5"/>
      <c r="AA984" s="4"/>
      <c r="BA984" s="5"/>
    </row>
    <row r="985" spans="2:53" ht="15.75" customHeight="1" x14ac:dyDescent="0.25">
      <c r="B985" s="5"/>
      <c r="AA985" s="4"/>
      <c r="BA985" s="5"/>
    </row>
    <row r="986" spans="2:53" ht="15.75" customHeight="1" x14ac:dyDescent="0.25">
      <c r="B986" s="5"/>
      <c r="AA986" s="4"/>
      <c r="BA986" s="5"/>
    </row>
    <row r="987" spans="2:53" ht="15.75" customHeight="1" x14ac:dyDescent="0.25">
      <c r="B987" s="5"/>
      <c r="AA987" s="4"/>
      <c r="BA987" s="5"/>
    </row>
    <row r="988" spans="2:53" ht="15.75" customHeight="1" x14ac:dyDescent="0.25">
      <c r="B988" s="5"/>
      <c r="AA988" s="4"/>
      <c r="BA988" s="5"/>
    </row>
    <row r="989" spans="2:53" ht="15.75" customHeight="1" x14ac:dyDescent="0.25">
      <c r="B989" s="5"/>
      <c r="AA989" s="4"/>
      <c r="BA989" s="5"/>
    </row>
    <row r="990" spans="2:53" ht="15.75" customHeight="1" x14ac:dyDescent="0.25">
      <c r="B990" s="5"/>
      <c r="AA990" s="4"/>
      <c r="BA990" s="5"/>
    </row>
    <row r="991" spans="2:53" ht="15.75" customHeight="1" x14ac:dyDescent="0.25">
      <c r="B991" s="5"/>
      <c r="AA991" s="4"/>
      <c r="BA991" s="5"/>
    </row>
    <row r="992" spans="2:53" ht="15.75" customHeight="1" x14ac:dyDescent="0.25">
      <c r="B992" s="5"/>
      <c r="AA992" s="4"/>
      <c r="BA992" s="5"/>
    </row>
    <row r="993" spans="2:53" ht="15.75" customHeight="1" x14ac:dyDescent="0.25">
      <c r="B993" s="5"/>
      <c r="AA993" s="4"/>
      <c r="BA993" s="5"/>
    </row>
    <row r="994" spans="2:53" ht="15.75" customHeight="1" x14ac:dyDescent="0.25">
      <c r="B994" s="5"/>
      <c r="AA994" s="4"/>
      <c r="BA994" s="5"/>
    </row>
    <row r="995" spans="2:53" ht="15.75" customHeight="1" x14ac:dyDescent="0.25">
      <c r="B995" s="5"/>
      <c r="AA995" s="4"/>
      <c r="BA995" s="5"/>
    </row>
    <row r="996" spans="2:53" ht="15.75" customHeight="1" x14ac:dyDescent="0.25">
      <c r="B996" s="5"/>
      <c r="AA996" s="4"/>
      <c r="BA996" s="5"/>
    </row>
    <row r="997" spans="2:53" ht="15.75" customHeight="1" x14ac:dyDescent="0.25">
      <c r="B997" s="5"/>
      <c r="AA997" s="4"/>
      <c r="BA997" s="5"/>
    </row>
    <row r="998" spans="2:53" ht="15.75" customHeight="1" x14ac:dyDescent="0.25">
      <c r="B998" s="5"/>
      <c r="AA998" s="4"/>
      <c r="BA998" s="5"/>
    </row>
    <row r="999" spans="2:53" ht="15.75" customHeight="1" x14ac:dyDescent="0.25">
      <c r="B999" s="5"/>
      <c r="AA999" s="4"/>
      <c r="BA999" s="5"/>
    </row>
    <row r="1000" spans="2:53" ht="15.75" customHeight="1" x14ac:dyDescent="0.25">
      <c r="B1000" s="5"/>
      <c r="AA1000" s="4"/>
      <c r="BA1000" s="5"/>
    </row>
    <row r="1001" spans="2:53" ht="15.75" customHeight="1" x14ac:dyDescent="0.25">
      <c r="B1001" s="5"/>
      <c r="AA1001" s="4"/>
      <c r="BA1001" s="5"/>
    </row>
    <row r="1002" spans="2:53" ht="15.75" customHeight="1" x14ac:dyDescent="0.25">
      <c r="B1002" s="5"/>
      <c r="AA1002" s="4"/>
      <c r="BA1002" s="5"/>
    </row>
    <row r="1003" spans="2:53" ht="15.75" customHeight="1" x14ac:dyDescent="0.25">
      <c r="B1003" s="5"/>
      <c r="AA1003" s="4"/>
      <c r="BA1003" s="5"/>
    </row>
    <row r="1004" spans="2:53" ht="15.75" customHeight="1" x14ac:dyDescent="0.25">
      <c r="B1004" s="5"/>
      <c r="AA1004" s="4"/>
      <c r="BA1004" s="5"/>
    </row>
    <row r="1005" spans="2:53" ht="15.75" customHeight="1" x14ac:dyDescent="0.25">
      <c r="B1005" s="5"/>
      <c r="AA1005" s="4"/>
      <c r="BA1005" s="5"/>
    </row>
    <row r="1006" spans="2:53" ht="15.75" customHeight="1" x14ac:dyDescent="0.25">
      <c r="B1006" s="5"/>
      <c r="AA1006" s="4"/>
      <c r="BA1006" s="5"/>
    </row>
    <row r="1007" spans="2:53" ht="15.75" customHeight="1" x14ac:dyDescent="0.25">
      <c r="B1007" s="5"/>
      <c r="AA1007" s="4"/>
      <c r="BA1007" s="5"/>
    </row>
    <row r="1008" spans="2:53" ht="15.75" customHeight="1" x14ac:dyDescent="0.25">
      <c r="B1008" s="5"/>
      <c r="AA1008" s="4"/>
      <c r="BA1008" s="5"/>
    </row>
    <row r="1009" spans="2:53" ht="15.75" customHeight="1" x14ac:dyDescent="0.25">
      <c r="B1009" s="5"/>
      <c r="AA1009" s="4"/>
      <c r="BA1009" s="5"/>
    </row>
    <row r="1010" spans="2:53" ht="15.75" customHeight="1" x14ac:dyDescent="0.25">
      <c r="B1010" s="5"/>
      <c r="AA1010" s="4"/>
      <c r="BA1010" s="5"/>
    </row>
    <row r="1011" spans="2:53" ht="15.75" customHeight="1" x14ac:dyDescent="0.25">
      <c r="B1011" s="5"/>
      <c r="AA1011" s="4"/>
      <c r="BA1011" s="5"/>
    </row>
    <row r="1012" spans="2:53" ht="15.75" customHeight="1" x14ac:dyDescent="0.25">
      <c r="B1012" s="5"/>
      <c r="AA1012" s="4"/>
      <c r="BA1012" s="5"/>
    </row>
    <row r="1013" spans="2:53" ht="15.75" customHeight="1" x14ac:dyDescent="0.25">
      <c r="B1013" s="5"/>
      <c r="AA1013" s="4"/>
      <c r="BA1013" s="5"/>
    </row>
  </sheetData>
  <pageMargins left="0.7" right="0.7" top="0.75" bottom="0.75" header="0" footer="0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C2" sqref="C2"/>
    </sheetView>
  </sheetViews>
  <sheetFormatPr defaultColWidth="14.42578125" defaultRowHeight="15" customHeight="1" x14ac:dyDescent="0.25"/>
  <cols>
    <col min="2" max="2" width="8.7109375" customWidth="1"/>
    <col min="3" max="3" width="32.28515625" customWidth="1"/>
    <col min="4" max="27" width="8.7109375" customWidth="1"/>
  </cols>
  <sheetData>
    <row r="1" spans="1:3" ht="15" customHeight="1" x14ac:dyDescent="0.25">
      <c r="A1" t="s">
        <v>389</v>
      </c>
      <c r="B1">
        <v>2</v>
      </c>
      <c r="C1">
        <v>55</v>
      </c>
    </row>
    <row r="2" spans="1:3" ht="15" customHeight="1" x14ac:dyDescent="0.25">
      <c r="A2" t="s">
        <v>388</v>
      </c>
      <c r="C2">
        <f ca="1">INDIRECT(ADDRESS(MATCH("DEF", A1:A2, 0),3))</f>
        <v>55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Staff Roles</vt:lpstr>
      <vt:lpstr>Sheet2</vt:lpstr>
      <vt:lpstr>Sheet3</vt:lpstr>
      <vt:lpstr>'Staff Roles'!Print_Area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Pompeii</cp:lastModifiedBy>
  <cp:lastPrinted>2025-01-22T22:36:40Z</cp:lastPrinted>
  <dcterms:created xsi:type="dcterms:W3CDTF">2018-01-10T04:50:59Z</dcterms:created>
  <dcterms:modified xsi:type="dcterms:W3CDTF">2025-08-19T03:29:20Z</dcterms:modified>
</cp:coreProperties>
</file>